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antt 14 week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<sst xmlns="http://schemas.openxmlformats.org/spreadsheetml/2006/main" count="77" uniqueCount="50">
  <si>
    <t xml:space="preserve">แผนงาน AI Browser Agent — 14 สัปดาห์ (2 คน)  |  Gantt Chart</t>
  </si>
  <si>
    <t xml:space="preserve">วันเริ่มโปรเจกต์:</t>
  </si>
  <si>
    <t xml:space="preserve">  ← แก้วันที่ในช่องเหลือง แล้ววันที่ทุกสัปดาห์/ทุก task จะขยับตามอัตโนมัติ</t>
  </si>
  <si>
    <t xml:space="preserve">ผู้รับผิดชอบ:</t>
  </si>
  <si>
    <t xml:space="preserve">A</t>
  </si>
  <si>
    <t xml:space="preserve">Dev A (คุณ) — Agent Core</t>
  </si>
  <si>
    <t xml:space="preserve">B</t>
  </si>
  <si>
    <t xml:space="preserve">Dev B (เพื่อน) — Knowledge &amp; Interface</t>
  </si>
  <si>
    <t xml:space="preserve">A+B</t>
  </si>
  <si>
    <t xml:space="preserve">ทั้งคู่ (pair)   ★ = หมุดหมาย/Milestone</t>
  </si>
  <si>
    <t xml:space="preserve">เฟส (Phase)</t>
  </si>
  <si>
    <t xml:space="preserve">งาน (Task)</t>
  </si>
  <si>
    <t xml:space="preserve">ผู้รับผิดชอบ</t>
  </si>
  <si>
    <t xml:space="preserve">เริ่ม(สัปดาห์)</t>
  </si>
  <si>
    <t xml:space="preserve">จบ(สัปดาห์)</t>
  </si>
  <si>
    <t xml:space="preserve">วันเริ่ม</t>
  </si>
  <si>
    <t xml:space="preserve">วันจบ</t>
  </si>
  <si>
    <t xml:space="preserve">วันเริ่มแต่ละสัปดาห์ →</t>
  </si>
  <si>
    <t xml:space="preserve">เฟส 0: เตรียมงาน</t>
  </si>
  <si>
    <t xml:space="preserve">Finalize สถาปัตยกรรม + ตั้ง Repo/Branch + ลง Playwright &amp; FastAPI (skeleton)</t>
  </si>
  <si>
    <t xml:space="preserve">ลง ChromaDB + เตรียมชุดคู่มือทดสอบ + เขียน Scope/SRS</t>
  </si>
  <si>
    <t xml:space="preserve">★ ตกลงเว็บเป้าหมาย 2-3 หน้า + เกณฑ์วัดผล (ร่วมกัน)</t>
  </si>
  <si>
    <t xml:space="preserve">เฟส 1: แกน Agent + ความปลอดภัย</t>
  </si>
  <si>
    <t xml:space="preserve">Perception: ดึง snapshot หน้าเว็บเป็น indexed elements</t>
  </si>
  <si>
    <t xml:space="preserve">Browser actions: คลิก/พิมพ์/เลื่อน/dropdown/สลับ tab</t>
  </si>
  <si>
    <t xml:space="preserve">Agent Loop v1: Perceive→Plan→Act→Verify (เว็บง่าย 1 หน้า)</t>
  </si>
  <si>
    <t xml:space="preserve">Verify + Retry เมื่อ action ล้มเหลว</t>
  </si>
  <si>
    <t xml:space="preserve">ออกแบบ ChromaDB schema + pipeline chunking คู่มือ</t>
  </si>
  <si>
    <t xml:space="preserve">Manual ingestion: PDF/DOCX/TXT → chunk → embed → เก็บ</t>
  </si>
  <si>
    <t xml:space="preserve">Permission layer: allowlist / blocklist action</t>
  </si>
  <si>
    <t xml:space="preserve">Human-in-the-loop: action อันตรายต้องขอยืนยันก่อน</t>
  </si>
  <si>
    <t xml:space="preserve">★ หมุดหมาย W5: Agent ทำ task end-to-end + มีเบรกความปลอดภัย</t>
  </si>
  <si>
    <t xml:space="preserve">เฟส 2: คู่มือ + ความจำ</t>
  </si>
  <si>
    <t xml:space="preserve">Planner prompt: รวม page state + คู่มือ + ความจำ</t>
  </si>
  <si>
    <t xml:space="preserve">Memory: short-term (กันทำซ้ำ) + long-term (pattern สำเร็จ)</t>
  </si>
  <si>
    <t xml:space="preserve">เชื่อม RAG เข้า Planner: query คู่มือทุกครั้งที่วางแผน</t>
  </si>
  <si>
    <t xml:space="preserve">RAG-based permission: คู่มือกำหนด action ที่ต้องขออนุมัติ</t>
  </si>
  <si>
    <t xml:space="preserve">★ บูรณาการรอบแรก + จูน prompt (pair กัน)</t>
  </si>
  <si>
    <t xml:space="preserve">เฟส 3: ทนทาน + UI + รวมระบบ</t>
  </si>
  <si>
    <t xml:space="preserve">Vision fallback + handle error states (popup/timeout)</t>
  </si>
  <si>
    <t xml:space="preserve">API endpoints (FastAPI) + Browser Pool (persistent)</t>
  </si>
  <si>
    <t xml:space="preserve">เพิ่มความหลากหลายคู่มือ/เว็บ + เก็บ edge cases</t>
  </si>
  <si>
    <t xml:space="preserve">Test Console (UI): สั่งงาน + แสดง log/reasoning เรียลไทม์</t>
  </si>
  <si>
    <t xml:space="preserve">★ Integration hardening: ทดสอบ end-to-end ทุก flow (pair)</t>
  </si>
  <si>
    <t xml:space="preserve">เฟส 4: วัดผล + ขัดเงา + เอกสาร</t>
  </si>
  <si>
    <t xml:space="preserve">Bug fixing + performance tuning จากผล eval</t>
  </si>
  <si>
    <t xml:space="preserve">เขียน Technical (สถาปัตยกรรม / agent loop / ผลลัพธ์)</t>
  </si>
  <si>
    <t xml:space="preserve">Evaluation แนว WebVoyager: success rate / step / token</t>
  </si>
  <si>
    <t xml:space="preserve">★ Buffer + Polish + เตรียม demo (ห้ามตัดทิ้ง!)</t>
  </si>
  <si>
    <t xml:space="preserve">เขียน Methodology + RAG + ทำสไลด์ + ซ้อม demo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</si>
</sst>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dd\ mmm\ yyyy"/>
    <numFmt numFmtId="166" formatCode="\W0"/>
    <numFmt numFmtId="167" formatCode="dd\&#10;mmm"/>
    <numFmt numFmtId="168" formatCode="dd\ mmm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sz val="10"/>
      <color rgb="FFC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9"/>
      <color rgb="FF000000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9"/>
      <color rgb="FF1F3864"/>
      <name val="Arial"/>
      <family val="0"/>
      <charset val="1"/>
    </font>
    <font>
      <b val="true"/>
      <sz val="9"/>
      <color rgb="FFFFFFFF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FFFFF"/>
      </patternFill>
    </fill>
    <fill>
      <patternFill patternType="solid">
        <fgColor rgb="FF4472C4"/>
        <bgColor rgb="FF666699"/>
      </patternFill>
    </fill>
    <fill>
      <patternFill patternType="solid">
        <fgColor rgb="FF548235"/>
        <bgColor rgb="FF339966"/>
      </patternFill>
    </fill>
    <fill>
      <patternFill patternType="solid">
        <fgColor rgb="FFED7D31"/>
        <bgColor rgb="FFFF8080"/>
      </patternFill>
    </fill>
    <fill>
      <patternFill patternType="solid">
        <fgColor rgb="FFD9E1F2"/>
        <bgColor rgb="FFCCFFFF"/>
      </patternFill>
    </fill>
    <fill>
      <patternFill patternType="solid">
        <fgColor rgb="FF8EA9DB"/>
        <bgColor rgb="FF969696"/>
      </patternFill>
    </fill>
    <fill>
      <patternFill patternType="solid">
        <fgColor rgb="FFFFFFFF"/>
        <bgColor rgb="FFFFF2C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6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9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2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2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9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ont>
        <name val="Arial"/>
        <charset val="1"/>
        <family val="0"/>
        <b val="1"/>
        <color rgb="FFFFFFFF"/>
      </font>
      <fill>
        <patternFill>
          <bgColor rgb="FFED7D31"/>
        </patternFill>
      </fill>
    </dxf>
    <dxf>
      <font>
        <name val="Arial"/>
        <charset val="1"/>
        <family val="0"/>
        <b val="1"/>
        <color rgb="FFFFFFFF"/>
      </font>
      <fill>
        <patternFill>
          <bgColor rgb="FF4472C4"/>
        </patternFill>
      </fill>
    </dxf>
    <dxf>
      <font>
        <name val="Arial"/>
        <charset val="1"/>
        <family val="0"/>
        <b val="1"/>
        <color rgb="FFFFFFFF"/>
      </font>
      <fill>
        <patternFill>
          <bgColor rgb="FF548235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FBFBF"/>
      <rgbColor rgb="FF808080"/>
      <rgbColor rgb="FF8EA9DB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ED7D31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7" topLeftCell="H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46"/>
    <col collapsed="false" customWidth="true" hidden="false" outlineLevel="0" max="3" min="3" style="0" width="11"/>
    <col collapsed="false" customWidth="true" hidden="false" outlineLevel="0" max="5" min="4" style="0" width="9"/>
    <col collapsed="false" customWidth="true" hidden="false" outlineLevel="0" max="7" min="6" style="0" width="10"/>
    <col collapsed="false" customWidth="true" hidden="false" outlineLevel="0" max="21" min="8" style="0" width="5.51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customFormat="false" ht="15" hidden="false" customHeight="false" outlineLevel="0" collapsed="false">
      <c r="A2" s="2" t="s">
        <v>1</v>
      </c>
      <c r="B2" s="3" t="n">
        <v>46212</v>
      </c>
      <c r="C2" s="4" t="s">
        <v>2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</row>
    <row r="3" customFormat="false" ht="15" hidden="false" customHeight="false" outlineLevel="0" collapsed="false">
      <c r="A3" s="5" t="s">
        <v>3</v>
      </c>
      <c r="B3" s="6" t="s">
        <v>4</v>
      </c>
      <c r="C3" s="7" t="s">
        <v>5</v>
      </c>
      <c r="E3" s="8" t="s">
        <v>6</v>
      </c>
      <c r="F3" s="9" t="s">
        <v>7</v>
      </c>
      <c r="G3" s="9"/>
      <c r="H3" s="9"/>
      <c r="I3" s="9"/>
      <c r="J3" s="10" t="s">
        <v>8</v>
      </c>
      <c r="K3" s="9" t="s">
        <v>9</v>
      </c>
      <c r="L3" s="9"/>
      <c r="M3" s="9"/>
      <c r="N3" s="9"/>
    </row>
    <row r="5" customFormat="false" ht="30" hidden="false" customHeight="true" outlineLevel="0" collapsed="false">
      <c r="A5" s="11" t="s">
        <v>10</v>
      </c>
      <c r="B5" s="11" t="s">
        <v>11</v>
      </c>
      <c r="C5" s="11" t="s">
        <v>12</v>
      </c>
      <c r="D5" s="11" t="s">
        <v>13</v>
      </c>
      <c r="E5" s="11" t="s">
        <v>14</v>
      </c>
      <c r="F5" s="11" t="s">
        <v>15</v>
      </c>
      <c r="G5" s="11" t="s">
        <v>16</v>
      </c>
      <c r="H5" s="12" t="n">
        <v>1</v>
      </c>
      <c r="I5" s="12" t="n">
        <v>2</v>
      </c>
      <c r="J5" s="12" t="n">
        <v>3</v>
      </c>
      <c r="K5" s="12" t="n">
        <v>4</v>
      </c>
      <c r="L5" s="12" t="n">
        <v>5</v>
      </c>
      <c r="M5" s="12" t="n">
        <v>6</v>
      </c>
      <c r="N5" s="12" t="n">
        <v>7</v>
      </c>
      <c r="O5" s="12" t="n">
        <v>8</v>
      </c>
      <c r="P5" s="12" t="n">
        <v>9</v>
      </c>
      <c r="Q5" s="12" t="n">
        <v>10</v>
      </c>
      <c r="R5" s="12" t="n">
        <v>11</v>
      </c>
      <c r="S5" s="12" t="n">
        <v>12</v>
      </c>
      <c r="T5" s="12" t="n">
        <v>13</v>
      </c>
      <c r="U5" s="12" t="n">
        <v>14</v>
      </c>
    </row>
    <row r="6" customFormat="false" ht="27.75" hidden="false" customHeight="true" outlineLevel="0" collapsed="false">
      <c r="A6" s="13"/>
      <c r="B6" s="13"/>
      <c r="C6" s="13"/>
      <c r="D6" s="13"/>
      <c r="E6" s="13"/>
      <c r="F6" s="13"/>
      <c r="G6" s="14" t="s">
        <v>17</v>
      </c>
      <c r="H6" s="15" t="n">
        <f aca="false">$B$2+(1-1)*7</f>
        <v>46212</v>
      </c>
      <c r="I6" s="15" t="n">
        <f aca="false">$B$2+(2-1)*7</f>
        <v>46219</v>
      </c>
      <c r="J6" s="15" t="n">
        <f aca="false">$B$2+(3-1)*7</f>
        <v>46226</v>
      </c>
      <c r="K6" s="15" t="n">
        <f aca="false">$B$2+(4-1)*7</f>
        <v>46233</v>
      </c>
      <c r="L6" s="15" t="n">
        <f aca="false">$B$2+(5-1)*7</f>
        <v>46240</v>
      </c>
      <c r="M6" s="15" t="n">
        <f aca="false">$B$2+(6-1)*7</f>
        <v>46247</v>
      </c>
      <c r="N6" s="15" t="n">
        <f aca="false">$B$2+(7-1)*7</f>
        <v>46254</v>
      </c>
      <c r="O6" s="15" t="n">
        <f aca="false">$B$2+(8-1)*7</f>
        <v>46261</v>
      </c>
      <c r="P6" s="15" t="n">
        <f aca="false">$B$2+(9-1)*7</f>
        <v>46268</v>
      </c>
      <c r="Q6" s="15" t="n">
        <f aca="false">$B$2+(10-1)*7</f>
        <v>46275</v>
      </c>
      <c r="R6" s="15" t="n">
        <f aca="false">$B$2+(11-1)*7</f>
        <v>46282</v>
      </c>
      <c r="S6" s="15" t="n">
        <f aca="false">$B$2+(12-1)*7</f>
        <v>46289</v>
      </c>
      <c r="T6" s="15" t="n">
        <f aca="false">$B$2+(13-1)*7</f>
        <v>46296</v>
      </c>
      <c r="U6" s="15" t="n">
        <f aca="false">$B$2+(14-1)*7</f>
        <v>46303</v>
      </c>
    </row>
    <row r="8" customFormat="false" ht="27.75" hidden="false" customHeight="true" outlineLevel="0" collapsed="false">
      <c r="A8" s="16" t="s">
        <v>18</v>
      </c>
      <c r="B8" s="17" t="s">
        <v>19</v>
      </c>
      <c r="C8" s="18" t="s">
        <v>4</v>
      </c>
      <c r="D8" s="19" t="n">
        <v>1</v>
      </c>
      <c r="E8" s="19" t="n">
        <v>1</v>
      </c>
      <c r="F8" s="20" t="n">
        <f aca="false">$B$2+($D8-1)*7</f>
        <v>46212</v>
      </c>
      <c r="G8" s="20" t="n">
        <f aca="false">$B$2+($E8-1)*7+6</f>
        <v>46218</v>
      </c>
      <c r="H8" s="21" t="str">
        <f aca="false">IF(AND(H$5&gt;=$D8,H$5&lt;=$E8),$C8,"")</f>
        <v>A</v>
      </c>
      <c r="I8" s="21" t="str">
        <f aca="false">IF(AND(I$5&gt;=$D8,I$5&lt;=$E8),$C8,"")</f>
        <v/>
      </c>
      <c r="J8" s="21" t="str">
        <f aca="false">IF(AND(J$5&gt;=$D8,J$5&lt;=$E8),$C8,"")</f>
        <v/>
      </c>
      <c r="K8" s="21" t="str">
        <f aca="false">IF(AND(K$5&gt;=$D8,K$5&lt;=$E8),$C8,"")</f>
        <v/>
      </c>
      <c r="L8" s="21" t="str">
        <f aca="false">IF(AND(L$5&gt;=$D8,L$5&lt;=$E8),$C8,"")</f>
        <v/>
      </c>
      <c r="M8" s="21" t="str">
        <f aca="false">IF(AND(M$5&gt;=$D8,M$5&lt;=$E8),$C8,"")</f>
        <v/>
      </c>
      <c r="N8" s="21" t="str">
        <f aca="false">IF(AND(N$5&gt;=$D8,N$5&lt;=$E8),$C8,"")</f>
        <v/>
      </c>
      <c r="O8" s="21" t="str">
        <f aca="false">IF(AND(O$5&gt;=$D8,O$5&lt;=$E8),$C8,"")</f>
        <v/>
      </c>
      <c r="P8" s="21" t="str">
        <f aca="false">IF(AND(P$5&gt;=$D8,P$5&lt;=$E8),$C8,"")</f>
        <v/>
      </c>
      <c r="Q8" s="21" t="str">
        <f aca="false">IF(AND(Q$5&gt;=$D8,Q$5&lt;=$E8),$C8,"")</f>
        <v/>
      </c>
      <c r="R8" s="21" t="str">
        <f aca="false">IF(AND(R$5&gt;=$D8,R$5&lt;=$E8),$C8,"")</f>
        <v/>
      </c>
      <c r="S8" s="21" t="str">
        <f aca="false">IF(AND(S$5&gt;=$D8,S$5&lt;=$E8),$C8,"")</f>
        <v/>
      </c>
      <c r="T8" s="21" t="str">
        <f aca="false">IF(AND(T$5&gt;=$D8,T$5&lt;=$E8),$C8,"")</f>
        <v/>
      </c>
      <c r="U8" s="21" t="str">
        <f aca="false">IF(AND(U$5&gt;=$D8,U$5&lt;=$E8),$C8,"")</f>
        <v/>
      </c>
    </row>
    <row r="9" customFormat="false" ht="27.75" hidden="false" customHeight="true" outlineLevel="0" collapsed="false">
      <c r="A9" s="22"/>
      <c r="B9" s="17" t="s">
        <v>20</v>
      </c>
      <c r="C9" s="23" t="s">
        <v>6</v>
      </c>
      <c r="D9" s="19" t="n">
        <v>1</v>
      </c>
      <c r="E9" s="19" t="n">
        <v>1</v>
      </c>
      <c r="F9" s="20" t="n">
        <f aca="false">$B$2+($D9-1)*7</f>
        <v>46212</v>
      </c>
      <c r="G9" s="20" t="n">
        <f aca="false">$B$2+($E9-1)*7+6</f>
        <v>46218</v>
      </c>
      <c r="H9" s="21" t="str">
        <f aca="false">IF(AND(H$5&gt;=$D9,H$5&lt;=$E9),$C9,"")</f>
        <v>B</v>
      </c>
      <c r="I9" s="21" t="str">
        <f aca="false">IF(AND(I$5&gt;=$D9,I$5&lt;=$E9),$C9,"")</f>
        <v/>
      </c>
      <c r="J9" s="21" t="str">
        <f aca="false">IF(AND(J$5&gt;=$D9,J$5&lt;=$E9),$C9,"")</f>
        <v/>
      </c>
      <c r="K9" s="21" t="str">
        <f aca="false">IF(AND(K$5&gt;=$D9,K$5&lt;=$E9),$C9,"")</f>
        <v/>
      </c>
      <c r="L9" s="21" t="str">
        <f aca="false">IF(AND(L$5&gt;=$D9,L$5&lt;=$E9),$C9,"")</f>
        <v/>
      </c>
      <c r="M9" s="21" t="str">
        <f aca="false">IF(AND(M$5&gt;=$D9,M$5&lt;=$E9),$C9,"")</f>
        <v/>
      </c>
      <c r="N9" s="21" t="str">
        <f aca="false">IF(AND(N$5&gt;=$D9,N$5&lt;=$E9),$C9,"")</f>
        <v/>
      </c>
      <c r="O9" s="21" t="str">
        <f aca="false">IF(AND(O$5&gt;=$D9,O$5&lt;=$E9),$C9,"")</f>
        <v/>
      </c>
      <c r="P9" s="21" t="str">
        <f aca="false">IF(AND(P$5&gt;=$D9,P$5&lt;=$E9),$C9,"")</f>
        <v/>
      </c>
      <c r="Q9" s="21" t="str">
        <f aca="false">IF(AND(Q$5&gt;=$D9,Q$5&lt;=$E9),$C9,"")</f>
        <v/>
      </c>
      <c r="R9" s="21" t="str">
        <f aca="false">IF(AND(R$5&gt;=$D9,R$5&lt;=$E9),$C9,"")</f>
        <v/>
      </c>
      <c r="S9" s="21" t="str">
        <f aca="false">IF(AND(S$5&gt;=$D9,S$5&lt;=$E9),$C9,"")</f>
        <v/>
      </c>
      <c r="T9" s="21" t="str">
        <f aca="false">IF(AND(T$5&gt;=$D9,T$5&lt;=$E9),$C9,"")</f>
        <v/>
      </c>
      <c r="U9" s="21" t="str">
        <f aca="false">IF(AND(U$5&gt;=$D9,U$5&lt;=$E9),$C9,"")</f>
        <v/>
      </c>
    </row>
    <row r="10" customFormat="false" ht="27.75" hidden="false" customHeight="true" outlineLevel="0" collapsed="false">
      <c r="A10" s="22"/>
      <c r="B10" s="17" t="s">
        <v>21</v>
      </c>
      <c r="C10" s="24" t="s">
        <v>8</v>
      </c>
      <c r="D10" s="19" t="n">
        <v>1</v>
      </c>
      <c r="E10" s="19" t="n">
        <v>1</v>
      </c>
      <c r="F10" s="20" t="n">
        <f aca="false">$B$2+($D10-1)*7</f>
        <v>46212</v>
      </c>
      <c r="G10" s="20" t="n">
        <f aca="false">$B$2+($E10-1)*7+6</f>
        <v>46218</v>
      </c>
      <c r="H10" s="21" t="str">
        <f aca="false">IF(AND(H$5&gt;=$D10,H$5&lt;=$E10),$C10,"")</f>
        <v>A+B</v>
      </c>
      <c r="I10" s="21" t="str">
        <f aca="false">IF(AND(I$5&gt;=$D10,I$5&lt;=$E10),$C10,"")</f>
        <v/>
      </c>
      <c r="J10" s="21" t="str">
        <f aca="false">IF(AND(J$5&gt;=$D10,J$5&lt;=$E10),$C10,"")</f>
        <v/>
      </c>
      <c r="K10" s="21" t="str">
        <f aca="false">IF(AND(K$5&gt;=$D10,K$5&lt;=$E10),$C10,"")</f>
        <v/>
      </c>
      <c r="L10" s="21" t="str">
        <f aca="false">IF(AND(L$5&gt;=$D10,L$5&lt;=$E10),$C10,"")</f>
        <v/>
      </c>
      <c r="M10" s="21" t="str">
        <f aca="false">IF(AND(M$5&gt;=$D10,M$5&lt;=$E10),$C10,"")</f>
        <v/>
      </c>
      <c r="N10" s="21" t="str">
        <f aca="false">IF(AND(N$5&gt;=$D10,N$5&lt;=$E10),$C10,"")</f>
        <v/>
      </c>
      <c r="O10" s="21" t="str">
        <f aca="false">IF(AND(O$5&gt;=$D10,O$5&lt;=$E10),$C10,"")</f>
        <v/>
      </c>
      <c r="P10" s="21" t="str">
        <f aca="false">IF(AND(P$5&gt;=$D10,P$5&lt;=$E10),$C10,"")</f>
        <v/>
      </c>
      <c r="Q10" s="21" t="str">
        <f aca="false">IF(AND(Q$5&gt;=$D10,Q$5&lt;=$E10),$C10,"")</f>
        <v/>
      </c>
      <c r="R10" s="21" t="str">
        <f aca="false">IF(AND(R$5&gt;=$D10,R$5&lt;=$E10),$C10,"")</f>
        <v/>
      </c>
      <c r="S10" s="21" t="str">
        <f aca="false">IF(AND(S$5&gt;=$D10,S$5&lt;=$E10),$C10,"")</f>
        <v/>
      </c>
      <c r="T10" s="21" t="str">
        <f aca="false">IF(AND(T$5&gt;=$D10,T$5&lt;=$E10),$C10,"")</f>
        <v/>
      </c>
      <c r="U10" s="21" t="str">
        <f aca="false">IF(AND(U$5&gt;=$D10,U$5&lt;=$E10),$C10,"")</f>
        <v/>
      </c>
    </row>
    <row r="11" customFormat="false" ht="27.75" hidden="false" customHeight="true" outlineLevel="0" collapsed="false">
      <c r="A11" s="16" t="s">
        <v>22</v>
      </c>
      <c r="B11" s="17" t="s">
        <v>23</v>
      </c>
      <c r="C11" s="18" t="s">
        <v>4</v>
      </c>
      <c r="D11" s="19" t="n">
        <v>2</v>
      </c>
      <c r="E11" s="19" t="n">
        <v>2</v>
      </c>
      <c r="F11" s="20" t="n">
        <f aca="false">$B$2+($D11-1)*7</f>
        <v>46219</v>
      </c>
      <c r="G11" s="20" t="n">
        <f aca="false">$B$2+($E11-1)*7+6</f>
        <v>46225</v>
      </c>
      <c r="H11" s="21" t="str">
        <f aca="false">IF(AND(H$5&gt;=$D11,H$5&lt;=$E11),$C11,"")</f>
        <v/>
      </c>
      <c r="I11" s="21" t="str">
        <f aca="false">IF(AND(I$5&gt;=$D11,I$5&lt;=$E11),$C11,"")</f>
        <v>A</v>
      </c>
      <c r="J11" s="21" t="str">
        <f aca="false">IF(AND(J$5&gt;=$D11,J$5&lt;=$E11),$C11,"")</f>
        <v/>
      </c>
      <c r="K11" s="21" t="str">
        <f aca="false">IF(AND(K$5&gt;=$D11,K$5&lt;=$E11),$C11,"")</f>
        <v/>
      </c>
      <c r="L11" s="21" t="str">
        <f aca="false">IF(AND(L$5&gt;=$D11,L$5&lt;=$E11),$C11,"")</f>
        <v/>
      </c>
      <c r="M11" s="21" t="str">
        <f aca="false">IF(AND(M$5&gt;=$D11,M$5&lt;=$E11),$C11,"")</f>
        <v/>
      </c>
      <c r="N11" s="21" t="str">
        <f aca="false">IF(AND(N$5&gt;=$D11,N$5&lt;=$E11),$C11,"")</f>
        <v/>
      </c>
      <c r="O11" s="21" t="str">
        <f aca="false">IF(AND(O$5&gt;=$D11,O$5&lt;=$E11),$C11,"")</f>
        <v/>
      </c>
      <c r="P11" s="21" t="str">
        <f aca="false">IF(AND(P$5&gt;=$D11,P$5&lt;=$E11),$C11,"")</f>
        <v/>
      </c>
      <c r="Q11" s="21" t="str">
        <f aca="false">IF(AND(Q$5&gt;=$D11,Q$5&lt;=$E11),$C11,"")</f>
        <v/>
      </c>
      <c r="R11" s="21" t="str">
        <f aca="false">IF(AND(R$5&gt;=$D11,R$5&lt;=$E11),$C11,"")</f>
        <v/>
      </c>
      <c r="S11" s="21" t="str">
        <f aca="false">IF(AND(S$5&gt;=$D11,S$5&lt;=$E11),$C11,"")</f>
        <v/>
      </c>
      <c r="T11" s="21" t="str">
        <f aca="false">IF(AND(T$5&gt;=$D11,T$5&lt;=$E11),$C11,"")</f>
        <v/>
      </c>
      <c r="U11" s="21" t="str">
        <f aca="false">IF(AND(U$5&gt;=$D11,U$5&lt;=$E11),$C11,"")</f>
        <v/>
      </c>
    </row>
    <row r="12" customFormat="false" ht="27.75" hidden="false" customHeight="true" outlineLevel="0" collapsed="false">
      <c r="A12" s="22"/>
      <c r="B12" s="17" t="s">
        <v>24</v>
      </c>
      <c r="C12" s="18" t="s">
        <v>4</v>
      </c>
      <c r="D12" s="19" t="n">
        <v>3</v>
      </c>
      <c r="E12" s="19" t="n">
        <v>3</v>
      </c>
      <c r="F12" s="20" t="n">
        <f aca="false">$B$2+($D12-1)*7</f>
        <v>46226</v>
      </c>
      <c r="G12" s="20" t="n">
        <f aca="false">$B$2+($E12-1)*7+6</f>
        <v>46232</v>
      </c>
      <c r="H12" s="21" t="str">
        <f aca="false">IF(AND(H$5&gt;=$D12,H$5&lt;=$E12),$C12,"")</f>
        <v/>
      </c>
      <c r="I12" s="21" t="str">
        <f aca="false">IF(AND(I$5&gt;=$D12,I$5&lt;=$E12),$C12,"")</f>
        <v/>
      </c>
      <c r="J12" s="21" t="str">
        <f aca="false">IF(AND(J$5&gt;=$D12,J$5&lt;=$E12),$C12,"")</f>
        <v>A</v>
      </c>
      <c r="K12" s="21" t="str">
        <f aca="false">IF(AND(K$5&gt;=$D12,K$5&lt;=$E12),$C12,"")</f>
        <v/>
      </c>
      <c r="L12" s="21" t="str">
        <f aca="false">IF(AND(L$5&gt;=$D12,L$5&lt;=$E12),$C12,"")</f>
        <v/>
      </c>
      <c r="M12" s="21" t="str">
        <f aca="false">IF(AND(M$5&gt;=$D12,M$5&lt;=$E12),$C12,"")</f>
        <v/>
      </c>
      <c r="N12" s="21" t="str">
        <f aca="false">IF(AND(N$5&gt;=$D12,N$5&lt;=$E12),$C12,"")</f>
        <v/>
      </c>
      <c r="O12" s="21" t="str">
        <f aca="false">IF(AND(O$5&gt;=$D12,O$5&lt;=$E12),$C12,"")</f>
        <v/>
      </c>
      <c r="P12" s="21" t="str">
        <f aca="false">IF(AND(P$5&gt;=$D12,P$5&lt;=$E12),$C12,"")</f>
        <v/>
      </c>
      <c r="Q12" s="21" t="str">
        <f aca="false">IF(AND(Q$5&gt;=$D12,Q$5&lt;=$E12),$C12,"")</f>
        <v/>
      </c>
      <c r="R12" s="21" t="str">
        <f aca="false">IF(AND(R$5&gt;=$D12,R$5&lt;=$E12),$C12,"")</f>
        <v/>
      </c>
      <c r="S12" s="21" t="str">
        <f aca="false">IF(AND(S$5&gt;=$D12,S$5&lt;=$E12),$C12,"")</f>
        <v/>
      </c>
      <c r="T12" s="21" t="str">
        <f aca="false">IF(AND(T$5&gt;=$D12,T$5&lt;=$E12),$C12,"")</f>
        <v/>
      </c>
      <c r="U12" s="21" t="str">
        <f aca="false">IF(AND(U$5&gt;=$D12,U$5&lt;=$E12),$C12,"")</f>
        <v/>
      </c>
    </row>
    <row r="13" customFormat="false" ht="27.75" hidden="false" customHeight="true" outlineLevel="0" collapsed="false">
      <c r="A13" s="22"/>
      <c r="B13" s="17" t="s">
        <v>25</v>
      </c>
      <c r="C13" s="18" t="s">
        <v>4</v>
      </c>
      <c r="D13" s="19" t="n">
        <v>4</v>
      </c>
      <c r="E13" s="19" t="n">
        <v>4</v>
      </c>
      <c r="F13" s="20" t="n">
        <f aca="false">$B$2+($D13-1)*7</f>
        <v>46233</v>
      </c>
      <c r="G13" s="20" t="n">
        <f aca="false">$B$2+($E13-1)*7+6</f>
        <v>46239</v>
      </c>
      <c r="H13" s="21" t="str">
        <f aca="false">IF(AND(H$5&gt;=$D13,H$5&lt;=$E13),$C13,"")</f>
        <v/>
      </c>
      <c r="I13" s="21" t="str">
        <f aca="false">IF(AND(I$5&gt;=$D13,I$5&lt;=$E13),$C13,"")</f>
        <v/>
      </c>
      <c r="J13" s="21" t="str">
        <f aca="false">IF(AND(J$5&gt;=$D13,J$5&lt;=$E13),$C13,"")</f>
        <v/>
      </c>
      <c r="K13" s="21" t="str">
        <f aca="false">IF(AND(K$5&gt;=$D13,K$5&lt;=$E13),$C13,"")</f>
        <v>A</v>
      </c>
      <c r="L13" s="21" t="str">
        <f aca="false">IF(AND(L$5&gt;=$D13,L$5&lt;=$E13),$C13,"")</f>
        <v/>
      </c>
      <c r="M13" s="21" t="str">
        <f aca="false">IF(AND(M$5&gt;=$D13,M$5&lt;=$E13),$C13,"")</f>
        <v/>
      </c>
      <c r="N13" s="21" t="str">
        <f aca="false">IF(AND(N$5&gt;=$D13,N$5&lt;=$E13),$C13,"")</f>
        <v/>
      </c>
      <c r="O13" s="21" t="str">
        <f aca="false">IF(AND(O$5&gt;=$D13,O$5&lt;=$E13),$C13,"")</f>
        <v/>
      </c>
      <c r="P13" s="21" t="str">
        <f aca="false">IF(AND(P$5&gt;=$D13,P$5&lt;=$E13),$C13,"")</f>
        <v/>
      </c>
      <c r="Q13" s="21" t="str">
        <f aca="false">IF(AND(Q$5&gt;=$D13,Q$5&lt;=$E13),$C13,"")</f>
        <v/>
      </c>
      <c r="R13" s="21" t="str">
        <f aca="false">IF(AND(R$5&gt;=$D13,R$5&lt;=$E13),$C13,"")</f>
        <v/>
      </c>
      <c r="S13" s="21" t="str">
        <f aca="false">IF(AND(S$5&gt;=$D13,S$5&lt;=$E13),$C13,"")</f>
        <v/>
      </c>
      <c r="T13" s="21" t="str">
        <f aca="false">IF(AND(T$5&gt;=$D13,T$5&lt;=$E13),$C13,"")</f>
        <v/>
      </c>
      <c r="U13" s="21" t="str">
        <f aca="false">IF(AND(U$5&gt;=$D13,U$5&lt;=$E13),$C13,"")</f>
        <v/>
      </c>
    </row>
    <row r="14" customFormat="false" ht="27.75" hidden="false" customHeight="true" outlineLevel="0" collapsed="false">
      <c r="A14" s="22"/>
      <c r="B14" s="17" t="s">
        <v>26</v>
      </c>
      <c r="C14" s="18" t="s">
        <v>4</v>
      </c>
      <c r="D14" s="19" t="n">
        <v>5</v>
      </c>
      <c r="E14" s="19" t="n">
        <v>5</v>
      </c>
      <c r="F14" s="20" t="n">
        <f aca="false">$B$2+($D14-1)*7</f>
        <v>46240</v>
      </c>
      <c r="G14" s="20" t="n">
        <f aca="false">$B$2+($E14-1)*7+6</f>
        <v>46246</v>
      </c>
      <c r="H14" s="21" t="str">
        <f aca="false">IF(AND(H$5&gt;=$D14,H$5&lt;=$E14),$C14,"")</f>
        <v/>
      </c>
      <c r="I14" s="21" t="str">
        <f aca="false">IF(AND(I$5&gt;=$D14,I$5&lt;=$E14),$C14,"")</f>
        <v/>
      </c>
      <c r="J14" s="21" t="str">
        <f aca="false">IF(AND(J$5&gt;=$D14,J$5&lt;=$E14),$C14,"")</f>
        <v/>
      </c>
      <c r="K14" s="21" t="str">
        <f aca="false">IF(AND(K$5&gt;=$D14,K$5&lt;=$E14),$C14,"")</f>
        <v/>
      </c>
      <c r="L14" s="21" t="str">
        <f aca="false">IF(AND(L$5&gt;=$D14,L$5&lt;=$E14),$C14,"")</f>
        <v>A</v>
      </c>
      <c r="M14" s="21" t="str">
        <f aca="false">IF(AND(M$5&gt;=$D14,M$5&lt;=$E14),$C14,"")</f>
        <v/>
      </c>
      <c r="N14" s="21" t="str">
        <f aca="false">IF(AND(N$5&gt;=$D14,N$5&lt;=$E14),$C14,"")</f>
        <v/>
      </c>
      <c r="O14" s="21" t="str">
        <f aca="false">IF(AND(O$5&gt;=$D14,O$5&lt;=$E14),$C14,"")</f>
        <v/>
      </c>
      <c r="P14" s="21" t="str">
        <f aca="false">IF(AND(P$5&gt;=$D14,P$5&lt;=$E14),$C14,"")</f>
        <v/>
      </c>
      <c r="Q14" s="21" t="str">
        <f aca="false">IF(AND(Q$5&gt;=$D14,Q$5&lt;=$E14),$C14,"")</f>
        <v/>
      </c>
      <c r="R14" s="21" t="str">
        <f aca="false">IF(AND(R$5&gt;=$D14,R$5&lt;=$E14),$C14,"")</f>
        <v/>
      </c>
      <c r="S14" s="21" t="str">
        <f aca="false">IF(AND(S$5&gt;=$D14,S$5&lt;=$E14),$C14,"")</f>
        <v/>
      </c>
      <c r="T14" s="21" t="str">
        <f aca="false">IF(AND(T$5&gt;=$D14,T$5&lt;=$E14),$C14,"")</f>
        <v/>
      </c>
      <c r="U14" s="21" t="str">
        <f aca="false">IF(AND(U$5&gt;=$D14,U$5&lt;=$E14),$C14,"")</f>
        <v/>
      </c>
    </row>
    <row r="15" customFormat="false" ht="27.75" hidden="false" customHeight="true" outlineLevel="0" collapsed="false">
      <c r="A15" s="22"/>
      <c r="B15" s="17" t="s">
        <v>27</v>
      </c>
      <c r="C15" s="23" t="s">
        <v>6</v>
      </c>
      <c r="D15" s="19" t="n">
        <v>2</v>
      </c>
      <c r="E15" s="19" t="n">
        <v>2</v>
      </c>
      <c r="F15" s="20" t="n">
        <f aca="false">$B$2+($D15-1)*7</f>
        <v>46219</v>
      </c>
      <c r="G15" s="20" t="n">
        <f aca="false">$B$2+($E15-1)*7+6</f>
        <v>46225</v>
      </c>
      <c r="H15" s="21" t="str">
        <f aca="false">IF(AND(H$5&gt;=$D15,H$5&lt;=$E15),$C15,"")</f>
        <v/>
      </c>
      <c r="I15" s="21" t="str">
        <f aca="false">IF(AND(I$5&gt;=$D15,I$5&lt;=$E15),$C15,"")</f>
        <v>B</v>
      </c>
      <c r="J15" s="21" t="str">
        <f aca="false">IF(AND(J$5&gt;=$D15,J$5&lt;=$E15),$C15,"")</f>
        <v/>
      </c>
      <c r="K15" s="21" t="str">
        <f aca="false">IF(AND(K$5&gt;=$D15,K$5&lt;=$E15),$C15,"")</f>
        <v/>
      </c>
      <c r="L15" s="21" t="str">
        <f aca="false">IF(AND(L$5&gt;=$D15,L$5&lt;=$E15),$C15,"")</f>
        <v/>
      </c>
      <c r="M15" s="21" t="str">
        <f aca="false">IF(AND(M$5&gt;=$D15,M$5&lt;=$E15),$C15,"")</f>
        <v/>
      </c>
      <c r="N15" s="21" t="str">
        <f aca="false">IF(AND(N$5&gt;=$D15,N$5&lt;=$E15),$C15,"")</f>
        <v/>
      </c>
      <c r="O15" s="21" t="str">
        <f aca="false">IF(AND(O$5&gt;=$D15,O$5&lt;=$E15),$C15,"")</f>
        <v/>
      </c>
      <c r="P15" s="21" t="str">
        <f aca="false">IF(AND(P$5&gt;=$D15,P$5&lt;=$E15),$C15,"")</f>
        <v/>
      </c>
      <c r="Q15" s="21" t="str">
        <f aca="false">IF(AND(Q$5&gt;=$D15,Q$5&lt;=$E15),$C15,"")</f>
        <v/>
      </c>
      <c r="R15" s="21" t="str">
        <f aca="false">IF(AND(R$5&gt;=$D15,R$5&lt;=$E15),$C15,"")</f>
        <v/>
      </c>
      <c r="S15" s="21" t="str">
        <f aca="false">IF(AND(S$5&gt;=$D15,S$5&lt;=$E15),$C15,"")</f>
        <v/>
      </c>
      <c r="T15" s="21" t="str">
        <f aca="false">IF(AND(T$5&gt;=$D15,T$5&lt;=$E15),$C15,"")</f>
        <v/>
      </c>
      <c r="U15" s="21" t="str">
        <f aca="false">IF(AND(U$5&gt;=$D15,U$5&lt;=$E15),$C15,"")</f>
        <v/>
      </c>
    </row>
    <row r="16" customFormat="false" ht="27.75" hidden="false" customHeight="true" outlineLevel="0" collapsed="false">
      <c r="A16" s="22"/>
      <c r="B16" s="17" t="s">
        <v>28</v>
      </c>
      <c r="C16" s="23" t="s">
        <v>6</v>
      </c>
      <c r="D16" s="19" t="n">
        <v>3</v>
      </c>
      <c r="E16" s="19" t="n">
        <v>3</v>
      </c>
      <c r="F16" s="20" t="n">
        <f aca="false">$B$2+($D16-1)*7</f>
        <v>46226</v>
      </c>
      <c r="G16" s="20" t="n">
        <f aca="false">$B$2+($E16-1)*7+6</f>
        <v>46232</v>
      </c>
      <c r="H16" s="21" t="str">
        <f aca="false">IF(AND(H$5&gt;=$D16,H$5&lt;=$E16),$C16,"")</f>
        <v/>
      </c>
      <c r="I16" s="21" t="str">
        <f aca="false">IF(AND(I$5&gt;=$D16,I$5&lt;=$E16),$C16,"")</f>
        <v/>
      </c>
      <c r="J16" s="21" t="str">
        <f aca="false">IF(AND(J$5&gt;=$D16,J$5&lt;=$E16),$C16,"")</f>
        <v>B</v>
      </c>
      <c r="K16" s="21" t="str">
        <f aca="false">IF(AND(K$5&gt;=$D16,K$5&lt;=$E16),$C16,"")</f>
        <v/>
      </c>
      <c r="L16" s="21" t="str">
        <f aca="false">IF(AND(L$5&gt;=$D16,L$5&lt;=$E16),$C16,"")</f>
        <v/>
      </c>
      <c r="M16" s="21" t="str">
        <f aca="false">IF(AND(M$5&gt;=$D16,M$5&lt;=$E16),$C16,"")</f>
        <v/>
      </c>
      <c r="N16" s="21" t="str">
        <f aca="false">IF(AND(N$5&gt;=$D16,N$5&lt;=$E16),$C16,"")</f>
        <v/>
      </c>
      <c r="O16" s="21" t="str">
        <f aca="false">IF(AND(O$5&gt;=$D16,O$5&lt;=$E16),$C16,"")</f>
        <v/>
      </c>
      <c r="P16" s="21" t="str">
        <f aca="false">IF(AND(P$5&gt;=$D16,P$5&lt;=$E16),$C16,"")</f>
        <v/>
      </c>
      <c r="Q16" s="21" t="str">
        <f aca="false">IF(AND(Q$5&gt;=$D16,Q$5&lt;=$E16),$C16,"")</f>
        <v/>
      </c>
      <c r="R16" s="21" t="str">
        <f aca="false">IF(AND(R$5&gt;=$D16,R$5&lt;=$E16),$C16,"")</f>
        <v/>
      </c>
      <c r="S16" s="21" t="str">
        <f aca="false">IF(AND(S$5&gt;=$D16,S$5&lt;=$E16),$C16,"")</f>
        <v/>
      </c>
      <c r="T16" s="21" t="str">
        <f aca="false">IF(AND(T$5&gt;=$D16,T$5&lt;=$E16),$C16,"")</f>
        <v/>
      </c>
      <c r="U16" s="21" t="str">
        <f aca="false">IF(AND(U$5&gt;=$D16,U$5&lt;=$E16),$C16,"")</f>
        <v/>
      </c>
    </row>
    <row r="17" customFormat="false" ht="27.75" hidden="false" customHeight="true" outlineLevel="0" collapsed="false">
      <c r="A17" s="22"/>
      <c r="B17" s="17" t="s">
        <v>29</v>
      </c>
      <c r="C17" s="23" t="s">
        <v>6</v>
      </c>
      <c r="D17" s="19" t="n">
        <v>4</v>
      </c>
      <c r="E17" s="19" t="n">
        <v>5</v>
      </c>
      <c r="F17" s="20" t="n">
        <f aca="false">$B$2+($D17-1)*7</f>
        <v>46233</v>
      </c>
      <c r="G17" s="20" t="n">
        <f aca="false">$B$2+($E17-1)*7+6</f>
        <v>46246</v>
      </c>
      <c r="H17" s="21" t="str">
        <f aca="false">IF(AND(H$5&gt;=$D17,H$5&lt;=$E17),$C17,"")</f>
        <v/>
      </c>
      <c r="I17" s="21" t="str">
        <f aca="false">IF(AND(I$5&gt;=$D17,I$5&lt;=$E17),$C17,"")</f>
        <v/>
      </c>
      <c r="J17" s="21" t="str">
        <f aca="false">IF(AND(J$5&gt;=$D17,J$5&lt;=$E17),$C17,"")</f>
        <v/>
      </c>
      <c r="K17" s="21" t="str">
        <f aca="false">IF(AND(K$5&gt;=$D17,K$5&lt;=$E17),$C17,"")</f>
        <v>B</v>
      </c>
      <c r="L17" s="21" t="str">
        <f aca="false">IF(AND(L$5&gt;=$D17,L$5&lt;=$E17),$C17,"")</f>
        <v>B</v>
      </c>
      <c r="M17" s="21" t="str">
        <f aca="false">IF(AND(M$5&gt;=$D17,M$5&lt;=$E17),$C17,"")</f>
        <v/>
      </c>
      <c r="N17" s="21" t="str">
        <f aca="false">IF(AND(N$5&gt;=$D17,N$5&lt;=$E17),$C17,"")</f>
        <v/>
      </c>
      <c r="O17" s="21" t="str">
        <f aca="false">IF(AND(O$5&gt;=$D17,O$5&lt;=$E17),$C17,"")</f>
        <v/>
      </c>
      <c r="P17" s="21" t="str">
        <f aca="false">IF(AND(P$5&gt;=$D17,P$5&lt;=$E17),$C17,"")</f>
        <v/>
      </c>
      <c r="Q17" s="21" t="str">
        <f aca="false">IF(AND(Q$5&gt;=$D17,Q$5&lt;=$E17),$C17,"")</f>
        <v/>
      </c>
      <c r="R17" s="21" t="str">
        <f aca="false">IF(AND(R$5&gt;=$D17,R$5&lt;=$E17),$C17,"")</f>
        <v/>
      </c>
      <c r="S17" s="21" t="str">
        <f aca="false">IF(AND(S$5&gt;=$D17,S$5&lt;=$E17),$C17,"")</f>
        <v/>
      </c>
      <c r="T17" s="21" t="str">
        <f aca="false">IF(AND(T$5&gt;=$D17,T$5&lt;=$E17),$C17,"")</f>
        <v/>
      </c>
      <c r="U17" s="21" t="str">
        <f aca="false">IF(AND(U$5&gt;=$D17,U$5&lt;=$E17),$C17,"")</f>
        <v/>
      </c>
    </row>
    <row r="18" customFormat="false" ht="27.75" hidden="false" customHeight="true" outlineLevel="0" collapsed="false">
      <c r="A18" s="22"/>
      <c r="B18" s="17" t="s">
        <v>30</v>
      </c>
      <c r="C18" s="23" t="s">
        <v>6</v>
      </c>
      <c r="D18" s="19" t="n">
        <v>5</v>
      </c>
      <c r="E18" s="19" t="n">
        <v>5</v>
      </c>
      <c r="F18" s="20" t="n">
        <f aca="false">$B$2+($D18-1)*7</f>
        <v>46240</v>
      </c>
      <c r="G18" s="20" t="n">
        <f aca="false">$B$2+($E18-1)*7+6</f>
        <v>46246</v>
      </c>
      <c r="H18" s="21" t="str">
        <f aca="false">IF(AND(H$5&gt;=$D18,H$5&lt;=$E18),$C18,"")</f>
        <v/>
      </c>
      <c r="I18" s="21" t="str">
        <f aca="false">IF(AND(I$5&gt;=$D18,I$5&lt;=$E18),$C18,"")</f>
        <v/>
      </c>
      <c r="J18" s="21" t="str">
        <f aca="false">IF(AND(J$5&gt;=$D18,J$5&lt;=$E18),$C18,"")</f>
        <v/>
      </c>
      <c r="K18" s="21" t="str">
        <f aca="false">IF(AND(K$5&gt;=$D18,K$5&lt;=$E18),$C18,"")</f>
        <v/>
      </c>
      <c r="L18" s="21" t="str">
        <f aca="false">IF(AND(L$5&gt;=$D18,L$5&lt;=$E18),$C18,"")</f>
        <v>B</v>
      </c>
      <c r="M18" s="21" t="str">
        <f aca="false">IF(AND(M$5&gt;=$D18,M$5&lt;=$E18),$C18,"")</f>
        <v/>
      </c>
      <c r="N18" s="21" t="str">
        <f aca="false">IF(AND(N$5&gt;=$D18,N$5&lt;=$E18),$C18,"")</f>
        <v/>
      </c>
      <c r="O18" s="21" t="str">
        <f aca="false">IF(AND(O$5&gt;=$D18,O$5&lt;=$E18),$C18,"")</f>
        <v/>
      </c>
      <c r="P18" s="21" t="str">
        <f aca="false">IF(AND(P$5&gt;=$D18,P$5&lt;=$E18),$C18,"")</f>
        <v/>
      </c>
      <c r="Q18" s="21" t="str">
        <f aca="false">IF(AND(Q$5&gt;=$D18,Q$5&lt;=$E18),$C18,"")</f>
        <v/>
      </c>
      <c r="R18" s="21" t="str">
        <f aca="false">IF(AND(R$5&gt;=$D18,R$5&lt;=$E18),$C18,"")</f>
        <v/>
      </c>
      <c r="S18" s="21" t="str">
        <f aca="false">IF(AND(S$5&gt;=$D18,S$5&lt;=$E18),$C18,"")</f>
        <v/>
      </c>
      <c r="T18" s="21" t="str">
        <f aca="false">IF(AND(T$5&gt;=$D18,T$5&lt;=$E18),$C18,"")</f>
        <v/>
      </c>
      <c r="U18" s="21" t="str">
        <f aca="false">IF(AND(U$5&gt;=$D18,U$5&lt;=$E18),$C18,"")</f>
        <v/>
      </c>
    </row>
    <row r="19" customFormat="false" ht="27.75" hidden="false" customHeight="true" outlineLevel="0" collapsed="false">
      <c r="A19" s="22"/>
      <c r="B19" s="17" t="s">
        <v>31</v>
      </c>
      <c r="C19" s="24" t="s">
        <v>8</v>
      </c>
      <c r="D19" s="19" t="n">
        <v>5</v>
      </c>
      <c r="E19" s="19" t="n">
        <v>5</v>
      </c>
      <c r="F19" s="20" t="n">
        <f aca="false">$B$2+($D19-1)*7</f>
        <v>46240</v>
      </c>
      <c r="G19" s="20" t="n">
        <f aca="false">$B$2+($E19-1)*7+6</f>
        <v>46246</v>
      </c>
      <c r="H19" s="21" t="str">
        <f aca="false">IF(AND(H$5&gt;=$D19,H$5&lt;=$E19),$C19,"")</f>
        <v/>
      </c>
      <c r="I19" s="21" t="str">
        <f aca="false">IF(AND(I$5&gt;=$D19,I$5&lt;=$E19),$C19,"")</f>
        <v/>
      </c>
      <c r="J19" s="21" t="str">
        <f aca="false">IF(AND(J$5&gt;=$D19,J$5&lt;=$E19),$C19,"")</f>
        <v/>
      </c>
      <c r="K19" s="21" t="str">
        <f aca="false">IF(AND(K$5&gt;=$D19,K$5&lt;=$E19),$C19,"")</f>
        <v/>
      </c>
      <c r="L19" s="21" t="str">
        <f aca="false">IF(AND(L$5&gt;=$D19,L$5&lt;=$E19),$C19,"")</f>
        <v>A+B</v>
      </c>
      <c r="M19" s="21" t="str">
        <f aca="false">IF(AND(M$5&gt;=$D19,M$5&lt;=$E19),$C19,"")</f>
        <v/>
      </c>
      <c r="N19" s="21" t="str">
        <f aca="false">IF(AND(N$5&gt;=$D19,N$5&lt;=$E19),$C19,"")</f>
        <v/>
      </c>
      <c r="O19" s="21" t="str">
        <f aca="false">IF(AND(O$5&gt;=$D19,O$5&lt;=$E19),$C19,"")</f>
        <v/>
      </c>
      <c r="P19" s="21" t="str">
        <f aca="false">IF(AND(P$5&gt;=$D19,P$5&lt;=$E19),$C19,"")</f>
        <v/>
      </c>
      <c r="Q19" s="21" t="str">
        <f aca="false">IF(AND(Q$5&gt;=$D19,Q$5&lt;=$E19),$C19,"")</f>
        <v/>
      </c>
      <c r="R19" s="21" t="str">
        <f aca="false">IF(AND(R$5&gt;=$D19,R$5&lt;=$E19),$C19,"")</f>
        <v/>
      </c>
      <c r="S19" s="21" t="str">
        <f aca="false">IF(AND(S$5&gt;=$D19,S$5&lt;=$E19),$C19,"")</f>
        <v/>
      </c>
      <c r="T19" s="21" t="str">
        <f aca="false">IF(AND(T$5&gt;=$D19,T$5&lt;=$E19),$C19,"")</f>
        <v/>
      </c>
      <c r="U19" s="21" t="str">
        <f aca="false">IF(AND(U$5&gt;=$D19,U$5&lt;=$E19),$C19,"")</f>
        <v/>
      </c>
    </row>
    <row r="20" customFormat="false" ht="27.75" hidden="false" customHeight="true" outlineLevel="0" collapsed="false">
      <c r="A20" s="16" t="s">
        <v>32</v>
      </c>
      <c r="B20" s="17" t="s">
        <v>33</v>
      </c>
      <c r="C20" s="18" t="s">
        <v>4</v>
      </c>
      <c r="D20" s="19" t="n">
        <v>6</v>
      </c>
      <c r="E20" s="19" t="n">
        <v>6</v>
      </c>
      <c r="F20" s="20" t="n">
        <f aca="false">$B$2+($D20-1)*7</f>
        <v>46247</v>
      </c>
      <c r="G20" s="20" t="n">
        <f aca="false">$B$2+($E20-1)*7+6</f>
        <v>46253</v>
      </c>
      <c r="H20" s="21" t="str">
        <f aca="false">IF(AND(H$5&gt;=$D20,H$5&lt;=$E20),$C20,"")</f>
        <v/>
      </c>
      <c r="I20" s="21" t="str">
        <f aca="false">IF(AND(I$5&gt;=$D20,I$5&lt;=$E20),$C20,"")</f>
        <v/>
      </c>
      <c r="J20" s="21" t="str">
        <f aca="false">IF(AND(J$5&gt;=$D20,J$5&lt;=$E20),$C20,"")</f>
        <v/>
      </c>
      <c r="K20" s="21" t="str">
        <f aca="false">IF(AND(K$5&gt;=$D20,K$5&lt;=$E20),$C20,"")</f>
        <v/>
      </c>
      <c r="L20" s="21" t="str">
        <f aca="false">IF(AND(L$5&gt;=$D20,L$5&lt;=$E20),$C20,"")</f>
        <v/>
      </c>
      <c r="M20" s="21" t="str">
        <f aca="false">IF(AND(M$5&gt;=$D20,M$5&lt;=$E20),$C20,"")</f>
        <v>A</v>
      </c>
      <c r="N20" s="21" t="str">
        <f aca="false">IF(AND(N$5&gt;=$D20,N$5&lt;=$E20),$C20,"")</f>
        <v/>
      </c>
      <c r="O20" s="21" t="str">
        <f aca="false">IF(AND(O$5&gt;=$D20,O$5&lt;=$E20),$C20,"")</f>
        <v/>
      </c>
      <c r="P20" s="21" t="str">
        <f aca="false">IF(AND(P$5&gt;=$D20,P$5&lt;=$E20),$C20,"")</f>
        <v/>
      </c>
      <c r="Q20" s="21" t="str">
        <f aca="false">IF(AND(Q$5&gt;=$D20,Q$5&lt;=$E20),$C20,"")</f>
        <v/>
      </c>
      <c r="R20" s="21" t="str">
        <f aca="false">IF(AND(R$5&gt;=$D20,R$5&lt;=$E20),$C20,"")</f>
        <v/>
      </c>
      <c r="S20" s="21" t="str">
        <f aca="false">IF(AND(S$5&gt;=$D20,S$5&lt;=$E20),$C20,"")</f>
        <v/>
      </c>
      <c r="T20" s="21" t="str">
        <f aca="false">IF(AND(T$5&gt;=$D20,T$5&lt;=$E20),$C20,"")</f>
        <v/>
      </c>
      <c r="U20" s="21" t="str">
        <f aca="false">IF(AND(U$5&gt;=$D20,U$5&lt;=$E20),$C20,"")</f>
        <v/>
      </c>
    </row>
    <row r="21" customFormat="false" ht="27.75" hidden="false" customHeight="true" outlineLevel="0" collapsed="false">
      <c r="A21" s="22"/>
      <c r="B21" s="17" t="s">
        <v>34</v>
      </c>
      <c r="C21" s="18" t="s">
        <v>4</v>
      </c>
      <c r="D21" s="19" t="n">
        <v>7</v>
      </c>
      <c r="E21" s="19" t="n">
        <v>7</v>
      </c>
      <c r="F21" s="20" t="n">
        <f aca="false">$B$2+($D21-1)*7</f>
        <v>46254</v>
      </c>
      <c r="G21" s="20" t="n">
        <f aca="false">$B$2+($E21-1)*7+6</f>
        <v>46260</v>
      </c>
      <c r="H21" s="21" t="str">
        <f aca="false">IF(AND(H$5&gt;=$D21,H$5&lt;=$E21),$C21,"")</f>
        <v/>
      </c>
      <c r="I21" s="21" t="str">
        <f aca="false">IF(AND(I$5&gt;=$D21,I$5&lt;=$E21),$C21,"")</f>
        <v/>
      </c>
      <c r="J21" s="21" t="str">
        <f aca="false">IF(AND(J$5&gt;=$D21,J$5&lt;=$E21),$C21,"")</f>
        <v/>
      </c>
      <c r="K21" s="21" t="str">
        <f aca="false">IF(AND(K$5&gt;=$D21,K$5&lt;=$E21),$C21,"")</f>
        <v/>
      </c>
      <c r="L21" s="21" t="str">
        <f aca="false">IF(AND(L$5&gt;=$D21,L$5&lt;=$E21),$C21,"")</f>
        <v/>
      </c>
      <c r="M21" s="21" t="str">
        <f aca="false">IF(AND(M$5&gt;=$D21,M$5&lt;=$E21),$C21,"")</f>
        <v/>
      </c>
      <c r="N21" s="21" t="str">
        <f aca="false">IF(AND(N$5&gt;=$D21,N$5&lt;=$E21),$C21,"")</f>
        <v>A</v>
      </c>
      <c r="O21" s="21" t="str">
        <f aca="false">IF(AND(O$5&gt;=$D21,O$5&lt;=$E21),$C21,"")</f>
        <v/>
      </c>
      <c r="P21" s="21" t="str">
        <f aca="false">IF(AND(P$5&gt;=$D21,P$5&lt;=$E21),$C21,"")</f>
        <v/>
      </c>
      <c r="Q21" s="21" t="str">
        <f aca="false">IF(AND(Q$5&gt;=$D21,Q$5&lt;=$E21),$C21,"")</f>
        <v/>
      </c>
      <c r="R21" s="21" t="str">
        <f aca="false">IF(AND(R$5&gt;=$D21,R$5&lt;=$E21),$C21,"")</f>
        <v/>
      </c>
      <c r="S21" s="21" t="str">
        <f aca="false">IF(AND(S$5&gt;=$D21,S$5&lt;=$E21),$C21,"")</f>
        <v/>
      </c>
      <c r="T21" s="21" t="str">
        <f aca="false">IF(AND(T$5&gt;=$D21,T$5&lt;=$E21),$C21,"")</f>
        <v/>
      </c>
      <c r="U21" s="21" t="str">
        <f aca="false">IF(AND(U$5&gt;=$D21,U$5&lt;=$E21),$C21,"")</f>
        <v/>
      </c>
    </row>
    <row r="22" customFormat="false" ht="27.75" hidden="false" customHeight="true" outlineLevel="0" collapsed="false">
      <c r="A22" s="22"/>
      <c r="B22" s="17" t="s">
        <v>35</v>
      </c>
      <c r="C22" s="23" t="s">
        <v>6</v>
      </c>
      <c r="D22" s="19" t="n">
        <v>6</v>
      </c>
      <c r="E22" s="19" t="n">
        <v>6</v>
      </c>
      <c r="F22" s="20" t="n">
        <f aca="false">$B$2+($D22-1)*7</f>
        <v>46247</v>
      </c>
      <c r="G22" s="20" t="n">
        <f aca="false">$B$2+($E22-1)*7+6</f>
        <v>46253</v>
      </c>
      <c r="H22" s="21" t="str">
        <f aca="false">IF(AND(H$5&gt;=$D22,H$5&lt;=$E22),$C22,"")</f>
        <v/>
      </c>
      <c r="I22" s="21" t="str">
        <f aca="false">IF(AND(I$5&gt;=$D22,I$5&lt;=$E22),$C22,"")</f>
        <v/>
      </c>
      <c r="J22" s="21" t="str">
        <f aca="false">IF(AND(J$5&gt;=$D22,J$5&lt;=$E22),$C22,"")</f>
        <v/>
      </c>
      <c r="K22" s="21" t="str">
        <f aca="false">IF(AND(K$5&gt;=$D22,K$5&lt;=$E22),$C22,"")</f>
        <v/>
      </c>
      <c r="L22" s="21" t="str">
        <f aca="false">IF(AND(L$5&gt;=$D22,L$5&lt;=$E22),$C22,"")</f>
        <v/>
      </c>
      <c r="M22" s="21" t="str">
        <f aca="false">IF(AND(M$5&gt;=$D22,M$5&lt;=$E22),$C22,"")</f>
        <v>B</v>
      </c>
      <c r="N22" s="21" t="str">
        <f aca="false">IF(AND(N$5&gt;=$D22,N$5&lt;=$E22),$C22,"")</f>
        <v/>
      </c>
      <c r="O22" s="21" t="str">
        <f aca="false">IF(AND(O$5&gt;=$D22,O$5&lt;=$E22),$C22,"")</f>
        <v/>
      </c>
      <c r="P22" s="21" t="str">
        <f aca="false">IF(AND(P$5&gt;=$D22,P$5&lt;=$E22),$C22,"")</f>
        <v/>
      </c>
      <c r="Q22" s="21" t="str">
        <f aca="false">IF(AND(Q$5&gt;=$D22,Q$5&lt;=$E22),$C22,"")</f>
        <v/>
      </c>
      <c r="R22" s="21" t="str">
        <f aca="false">IF(AND(R$5&gt;=$D22,R$5&lt;=$E22),$C22,"")</f>
        <v/>
      </c>
      <c r="S22" s="21" t="str">
        <f aca="false">IF(AND(S$5&gt;=$D22,S$5&lt;=$E22),$C22,"")</f>
        <v/>
      </c>
      <c r="T22" s="21" t="str">
        <f aca="false">IF(AND(T$5&gt;=$D22,T$5&lt;=$E22),$C22,"")</f>
        <v/>
      </c>
      <c r="U22" s="21" t="str">
        <f aca="false">IF(AND(U$5&gt;=$D22,U$5&lt;=$E22),$C22,"")</f>
        <v/>
      </c>
    </row>
    <row r="23" customFormat="false" ht="27.75" hidden="false" customHeight="true" outlineLevel="0" collapsed="false">
      <c r="A23" s="22"/>
      <c r="B23" s="17" t="s">
        <v>36</v>
      </c>
      <c r="C23" s="23" t="s">
        <v>6</v>
      </c>
      <c r="D23" s="19" t="n">
        <v>7</v>
      </c>
      <c r="E23" s="19" t="n">
        <v>7</v>
      </c>
      <c r="F23" s="20" t="n">
        <f aca="false">$B$2+($D23-1)*7</f>
        <v>46254</v>
      </c>
      <c r="G23" s="20" t="n">
        <f aca="false">$B$2+($E23-1)*7+6</f>
        <v>46260</v>
      </c>
      <c r="H23" s="21" t="str">
        <f aca="false">IF(AND(H$5&gt;=$D23,H$5&lt;=$E23),$C23,"")</f>
        <v/>
      </c>
      <c r="I23" s="21" t="str">
        <f aca="false">IF(AND(I$5&gt;=$D23,I$5&lt;=$E23),$C23,"")</f>
        <v/>
      </c>
      <c r="J23" s="21" t="str">
        <f aca="false">IF(AND(J$5&gt;=$D23,J$5&lt;=$E23),$C23,"")</f>
        <v/>
      </c>
      <c r="K23" s="21" t="str">
        <f aca="false">IF(AND(K$5&gt;=$D23,K$5&lt;=$E23),$C23,"")</f>
        <v/>
      </c>
      <c r="L23" s="21" t="str">
        <f aca="false">IF(AND(L$5&gt;=$D23,L$5&lt;=$E23),$C23,"")</f>
        <v/>
      </c>
      <c r="M23" s="21" t="str">
        <f aca="false">IF(AND(M$5&gt;=$D23,M$5&lt;=$E23),$C23,"")</f>
        <v/>
      </c>
      <c r="N23" s="21" t="str">
        <f aca="false">IF(AND(N$5&gt;=$D23,N$5&lt;=$E23),$C23,"")</f>
        <v>B</v>
      </c>
      <c r="O23" s="21" t="str">
        <f aca="false">IF(AND(O$5&gt;=$D23,O$5&lt;=$E23),$C23,"")</f>
        <v/>
      </c>
      <c r="P23" s="21" t="str">
        <f aca="false">IF(AND(P$5&gt;=$D23,P$5&lt;=$E23),$C23,"")</f>
        <v/>
      </c>
      <c r="Q23" s="21" t="str">
        <f aca="false">IF(AND(Q$5&gt;=$D23,Q$5&lt;=$E23),$C23,"")</f>
        <v/>
      </c>
      <c r="R23" s="21" t="str">
        <f aca="false">IF(AND(R$5&gt;=$D23,R$5&lt;=$E23),$C23,"")</f>
        <v/>
      </c>
      <c r="S23" s="21" t="str">
        <f aca="false">IF(AND(S$5&gt;=$D23,S$5&lt;=$E23),$C23,"")</f>
        <v/>
      </c>
      <c r="T23" s="21" t="str">
        <f aca="false">IF(AND(T$5&gt;=$D23,T$5&lt;=$E23),$C23,"")</f>
        <v/>
      </c>
      <c r="U23" s="21" t="str">
        <f aca="false">IF(AND(U$5&gt;=$D23,U$5&lt;=$E23),$C23,"")</f>
        <v/>
      </c>
    </row>
    <row r="24" customFormat="false" ht="27.75" hidden="false" customHeight="true" outlineLevel="0" collapsed="false">
      <c r="A24" s="22"/>
      <c r="B24" s="17" t="s">
        <v>37</v>
      </c>
      <c r="C24" s="24" t="s">
        <v>8</v>
      </c>
      <c r="D24" s="19" t="n">
        <v>8</v>
      </c>
      <c r="E24" s="19" t="n">
        <v>8</v>
      </c>
      <c r="F24" s="20" t="n">
        <f aca="false">$B$2+($D24-1)*7</f>
        <v>46261</v>
      </c>
      <c r="G24" s="20" t="n">
        <f aca="false">$B$2+($E24-1)*7+6</f>
        <v>46267</v>
      </c>
      <c r="H24" s="21" t="str">
        <f aca="false">IF(AND(H$5&gt;=$D24,H$5&lt;=$E24),$C24,"")</f>
        <v/>
      </c>
      <c r="I24" s="21" t="str">
        <f aca="false">IF(AND(I$5&gt;=$D24,I$5&lt;=$E24),$C24,"")</f>
        <v/>
      </c>
      <c r="J24" s="21" t="str">
        <f aca="false">IF(AND(J$5&gt;=$D24,J$5&lt;=$E24),$C24,"")</f>
        <v/>
      </c>
      <c r="K24" s="21" t="str">
        <f aca="false">IF(AND(K$5&gt;=$D24,K$5&lt;=$E24),$C24,"")</f>
        <v/>
      </c>
      <c r="L24" s="21" t="str">
        <f aca="false">IF(AND(L$5&gt;=$D24,L$5&lt;=$E24),$C24,"")</f>
        <v/>
      </c>
      <c r="M24" s="21" t="str">
        <f aca="false">IF(AND(M$5&gt;=$D24,M$5&lt;=$E24),$C24,"")</f>
        <v/>
      </c>
      <c r="N24" s="21" t="str">
        <f aca="false">IF(AND(N$5&gt;=$D24,N$5&lt;=$E24),$C24,"")</f>
        <v/>
      </c>
      <c r="O24" s="21" t="str">
        <f aca="false">IF(AND(O$5&gt;=$D24,O$5&lt;=$E24),$C24,"")</f>
        <v>A+B</v>
      </c>
      <c r="P24" s="21" t="str">
        <f aca="false">IF(AND(P$5&gt;=$D24,P$5&lt;=$E24),$C24,"")</f>
        <v/>
      </c>
      <c r="Q24" s="21" t="str">
        <f aca="false">IF(AND(Q$5&gt;=$D24,Q$5&lt;=$E24),$C24,"")</f>
        <v/>
      </c>
      <c r="R24" s="21" t="str">
        <f aca="false">IF(AND(R$5&gt;=$D24,R$5&lt;=$E24),$C24,"")</f>
        <v/>
      </c>
      <c r="S24" s="21" t="str">
        <f aca="false">IF(AND(S$5&gt;=$D24,S$5&lt;=$E24),$C24,"")</f>
        <v/>
      </c>
      <c r="T24" s="21" t="str">
        <f aca="false">IF(AND(T$5&gt;=$D24,T$5&lt;=$E24),$C24,"")</f>
        <v/>
      </c>
      <c r="U24" s="21" t="str">
        <f aca="false">IF(AND(U$5&gt;=$D24,U$5&lt;=$E24),$C24,"")</f>
        <v/>
      </c>
    </row>
    <row r="25" customFormat="false" ht="27.75" hidden="false" customHeight="true" outlineLevel="0" collapsed="false">
      <c r="A25" s="16" t="s">
        <v>38</v>
      </c>
      <c r="B25" s="17" t="s">
        <v>39</v>
      </c>
      <c r="C25" s="18" t="s">
        <v>4</v>
      </c>
      <c r="D25" s="19" t="n">
        <v>9</v>
      </c>
      <c r="E25" s="19" t="n">
        <v>9</v>
      </c>
      <c r="F25" s="20" t="n">
        <f aca="false">$B$2+($D25-1)*7</f>
        <v>46268</v>
      </c>
      <c r="G25" s="20" t="n">
        <f aca="false">$B$2+($E25-1)*7+6</f>
        <v>46274</v>
      </c>
      <c r="H25" s="21" t="str">
        <f aca="false">IF(AND(H$5&gt;=$D25,H$5&lt;=$E25),$C25,"")</f>
        <v/>
      </c>
      <c r="I25" s="21" t="str">
        <f aca="false">IF(AND(I$5&gt;=$D25,I$5&lt;=$E25),$C25,"")</f>
        <v/>
      </c>
      <c r="J25" s="21" t="str">
        <f aca="false">IF(AND(J$5&gt;=$D25,J$5&lt;=$E25),$C25,"")</f>
        <v/>
      </c>
      <c r="K25" s="21" t="str">
        <f aca="false">IF(AND(K$5&gt;=$D25,K$5&lt;=$E25),$C25,"")</f>
        <v/>
      </c>
      <c r="L25" s="21" t="str">
        <f aca="false">IF(AND(L$5&gt;=$D25,L$5&lt;=$E25),$C25,"")</f>
        <v/>
      </c>
      <c r="M25" s="21" t="str">
        <f aca="false">IF(AND(M$5&gt;=$D25,M$5&lt;=$E25),$C25,"")</f>
        <v/>
      </c>
      <c r="N25" s="21" t="str">
        <f aca="false">IF(AND(N$5&gt;=$D25,N$5&lt;=$E25),$C25,"")</f>
        <v/>
      </c>
      <c r="O25" s="21" t="str">
        <f aca="false">IF(AND(O$5&gt;=$D25,O$5&lt;=$E25),$C25,"")</f>
        <v/>
      </c>
      <c r="P25" s="21" t="str">
        <f aca="false">IF(AND(P$5&gt;=$D25,P$5&lt;=$E25),$C25,"")</f>
        <v>A</v>
      </c>
      <c r="Q25" s="21" t="str">
        <f aca="false">IF(AND(Q$5&gt;=$D25,Q$5&lt;=$E25),$C25,"")</f>
        <v/>
      </c>
      <c r="R25" s="21" t="str">
        <f aca="false">IF(AND(R$5&gt;=$D25,R$5&lt;=$E25),$C25,"")</f>
        <v/>
      </c>
      <c r="S25" s="21" t="str">
        <f aca="false">IF(AND(S$5&gt;=$D25,S$5&lt;=$E25),$C25,"")</f>
        <v/>
      </c>
      <c r="T25" s="21" t="str">
        <f aca="false">IF(AND(T$5&gt;=$D25,T$5&lt;=$E25),$C25,"")</f>
        <v/>
      </c>
      <c r="U25" s="21" t="str">
        <f aca="false">IF(AND(U$5&gt;=$D25,U$5&lt;=$E25),$C25,"")</f>
        <v/>
      </c>
    </row>
    <row r="26" customFormat="false" ht="27.75" hidden="false" customHeight="true" outlineLevel="0" collapsed="false">
      <c r="A26" s="22"/>
      <c r="B26" s="17" t="s">
        <v>40</v>
      </c>
      <c r="C26" s="18" t="s">
        <v>4</v>
      </c>
      <c r="D26" s="19" t="n">
        <v>10</v>
      </c>
      <c r="E26" s="19" t="n">
        <v>10</v>
      </c>
      <c r="F26" s="20" t="n">
        <f aca="false">$B$2+($D26-1)*7</f>
        <v>46275</v>
      </c>
      <c r="G26" s="20" t="n">
        <f aca="false">$B$2+($E26-1)*7+6</f>
        <v>46281</v>
      </c>
      <c r="H26" s="21" t="str">
        <f aca="false">IF(AND(H$5&gt;=$D26,H$5&lt;=$E26),$C26,"")</f>
        <v/>
      </c>
      <c r="I26" s="21" t="str">
        <f aca="false">IF(AND(I$5&gt;=$D26,I$5&lt;=$E26),$C26,"")</f>
        <v/>
      </c>
      <c r="J26" s="21" t="str">
        <f aca="false">IF(AND(J$5&gt;=$D26,J$5&lt;=$E26),$C26,"")</f>
        <v/>
      </c>
      <c r="K26" s="21" t="str">
        <f aca="false">IF(AND(K$5&gt;=$D26,K$5&lt;=$E26),$C26,"")</f>
        <v/>
      </c>
      <c r="L26" s="21" t="str">
        <f aca="false">IF(AND(L$5&gt;=$D26,L$5&lt;=$E26),$C26,"")</f>
        <v/>
      </c>
      <c r="M26" s="21" t="str">
        <f aca="false">IF(AND(M$5&gt;=$D26,M$5&lt;=$E26),$C26,"")</f>
        <v/>
      </c>
      <c r="N26" s="21" t="str">
        <f aca="false">IF(AND(N$5&gt;=$D26,N$5&lt;=$E26),$C26,"")</f>
        <v/>
      </c>
      <c r="O26" s="21" t="str">
        <f aca="false">IF(AND(O$5&gt;=$D26,O$5&lt;=$E26),$C26,"")</f>
        <v/>
      </c>
      <c r="P26" s="21" t="str">
        <f aca="false">IF(AND(P$5&gt;=$D26,P$5&lt;=$E26),$C26,"")</f>
        <v/>
      </c>
      <c r="Q26" s="21" t="str">
        <f aca="false">IF(AND(Q$5&gt;=$D26,Q$5&lt;=$E26),$C26,"")</f>
        <v>A</v>
      </c>
      <c r="R26" s="21" t="str">
        <f aca="false">IF(AND(R$5&gt;=$D26,R$5&lt;=$E26),$C26,"")</f>
        <v/>
      </c>
      <c r="S26" s="21" t="str">
        <f aca="false">IF(AND(S$5&gt;=$D26,S$5&lt;=$E26),$C26,"")</f>
        <v/>
      </c>
      <c r="T26" s="21" t="str">
        <f aca="false">IF(AND(T$5&gt;=$D26,T$5&lt;=$E26),$C26,"")</f>
        <v/>
      </c>
      <c r="U26" s="21" t="str">
        <f aca="false">IF(AND(U$5&gt;=$D26,U$5&lt;=$E26),$C26,"")</f>
        <v/>
      </c>
    </row>
    <row r="27" customFormat="false" ht="27.75" hidden="false" customHeight="true" outlineLevel="0" collapsed="false">
      <c r="A27" s="22"/>
      <c r="B27" s="17" t="s">
        <v>41</v>
      </c>
      <c r="C27" s="23" t="s">
        <v>6</v>
      </c>
      <c r="D27" s="19" t="n">
        <v>9</v>
      </c>
      <c r="E27" s="19" t="n">
        <v>9</v>
      </c>
      <c r="F27" s="20" t="n">
        <f aca="false">$B$2+($D27-1)*7</f>
        <v>46268</v>
      </c>
      <c r="G27" s="20" t="n">
        <f aca="false">$B$2+($E27-1)*7+6</f>
        <v>46274</v>
      </c>
      <c r="H27" s="21" t="str">
        <f aca="false">IF(AND(H$5&gt;=$D27,H$5&lt;=$E27),$C27,"")</f>
        <v/>
      </c>
      <c r="I27" s="21" t="str">
        <f aca="false">IF(AND(I$5&gt;=$D27,I$5&lt;=$E27),$C27,"")</f>
        <v/>
      </c>
      <c r="J27" s="21" t="str">
        <f aca="false">IF(AND(J$5&gt;=$D27,J$5&lt;=$E27),$C27,"")</f>
        <v/>
      </c>
      <c r="K27" s="21" t="str">
        <f aca="false">IF(AND(K$5&gt;=$D27,K$5&lt;=$E27),$C27,"")</f>
        <v/>
      </c>
      <c r="L27" s="21" t="str">
        <f aca="false">IF(AND(L$5&gt;=$D27,L$5&lt;=$E27),$C27,"")</f>
        <v/>
      </c>
      <c r="M27" s="21" t="str">
        <f aca="false">IF(AND(M$5&gt;=$D27,M$5&lt;=$E27),$C27,"")</f>
        <v/>
      </c>
      <c r="N27" s="21" t="str">
        <f aca="false">IF(AND(N$5&gt;=$D27,N$5&lt;=$E27),$C27,"")</f>
        <v/>
      </c>
      <c r="O27" s="21" t="str">
        <f aca="false">IF(AND(O$5&gt;=$D27,O$5&lt;=$E27),$C27,"")</f>
        <v/>
      </c>
      <c r="P27" s="21" t="str">
        <f aca="false">IF(AND(P$5&gt;=$D27,P$5&lt;=$E27),$C27,"")</f>
        <v>B</v>
      </c>
      <c r="Q27" s="21" t="str">
        <f aca="false">IF(AND(Q$5&gt;=$D27,Q$5&lt;=$E27),$C27,"")</f>
        <v/>
      </c>
      <c r="R27" s="21" t="str">
        <f aca="false">IF(AND(R$5&gt;=$D27,R$5&lt;=$E27),$C27,"")</f>
        <v/>
      </c>
      <c r="S27" s="21" t="str">
        <f aca="false">IF(AND(S$5&gt;=$D27,S$5&lt;=$E27),$C27,"")</f>
        <v/>
      </c>
      <c r="T27" s="21" t="str">
        <f aca="false">IF(AND(T$5&gt;=$D27,T$5&lt;=$E27),$C27,"")</f>
        <v/>
      </c>
      <c r="U27" s="21" t="str">
        <f aca="false">IF(AND(U$5&gt;=$D27,U$5&lt;=$E27),$C27,"")</f>
        <v/>
      </c>
    </row>
    <row r="28" customFormat="false" ht="27.75" hidden="false" customHeight="true" outlineLevel="0" collapsed="false">
      <c r="A28" s="22"/>
      <c r="B28" s="17" t="s">
        <v>42</v>
      </c>
      <c r="C28" s="23" t="s">
        <v>6</v>
      </c>
      <c r="D28" s="19" t="n">
        <v>10</v>
      </c>
      <c r="E28" s="19" t="n">
        <v>10</v>
      </c>
      <c r="F28" s="20" t="n">
        <f aca="false">$B$2+($D28-1)*7</f>
        <v>46275</v>
      </c>
      <c r="G28" s="20" t="n">
        <f aca="false">$B$2+($E28-1)*7+6</f>
        <v>46281</v>
      </c>
      <c r="H28" s="21" t="str">
        <f aca="false">IF(AND(H$5&gt;=$D28,H$5&lt;=$E28),$C28,"")</f>
        <v/>
      </c>
      <c r="I28" s="21" t="str">
        <f aca="false">IF(AND(I$5&gt;=$D28,I$5&lt;=$E28),$C28,"")</f>
        <v/>
      </c>
      <c r="J28" s="21" t="str">
        <f aca="false">IF(AND(J$5&gt;=$D28,J$5&lt;=$E28),$C28,"")</f>
        <v/>
      </c>
      <c r="K28" s="21" t="str">
        <f aca="false">IF(AND(K$5&gt;=$D28,K$5&lt;=$E28),$C28,"")</f>
        <v/>
      </c>
      <c r="L28" s="21" t="str">
        <f aca="false">IF(AND(L$5&gt;=$D28,L$5&lt;=$E28),$C28,"")</f>
        <v/>
      </c>
      <c r="M28" s="21" t="str">
        <f aca="false">IF(AND(M$5&gt;=$D28,M$5&lt;=$E28),$C28,"")</f>
        <v/>
      </c>
      <c r="N28" s="21" t="str">
        <f aca="false">IF(AND(N$5&gt;=$D28,N$5&lt;=$E28),$C28,"")</f>
        <v/>
      </c>
      <c r="O28" s="21" t="str">
        <f aca="false">IF(AND(O$5&gt;=$D28,O$5&lt;=$E28),$C28,"")</f>
        <v/>
      </c>
      <c r="P28" s="21" t="str">
        <f aca="false">IF(AND(P$5&gt;=$D28,P$5&lt;=$E28),$C28,"")</f>
        <v/>
      </c>
      <c r="Q28" s="21" t="str">
        <f aca="false">IF(AND(Q$5&gt;=$D28,Q$5&lt;=$E28),$C28,"")</f>
        <v>B</v>
      </c>
      <c r="R28" s="21" t="str">
        <f aca="false">IF(AND(R$5&gt;=$D28,R$5&lt;=$E28),$C28,"")</f>
        <v/>
      </c>
      <c r="S28" s="21" t="str">
        <f aca="false">IF(AND(S$5&gt;=$D28,S$5&lt;=$E28),$C28,"")</f>
        <v/>
      </c>
      <c r="T28" s="21" t="str">
        <f aca="false">IF(AND(T$5&gt;=$D28,T$5&lt;=$E28),$C28,"")</f>
        <v/>
      </c>
      <c r="U28" s="21" t="str">
        <f aca="false">IF(AND(U$5&gt;=$D28,U$5&lt;=$E28),$C28,"")</f>
        <v/>
      </c>
    </row>
    <row r="29" customFormat="false" ht="27.75" hidden="false" customHeight="true" outlineLevel="0" collapsed="false">
      <c r="A29" s="22"/>
      <c r="B29" s="17" t="s">
        <v>43</v>
      </c>
      <c r="C29" s="24" t="s">
        <v>8</v>
      </c>
      <c r="D29" s="19" t="n">
        <v>11</v>
      </c>
      <c r="E29" s="19" t="n">
        <v>11</v>
      </c>
      <c r="F29" s="20" t="n">
        <f aca="false">$B$2+($D29-1)*7</f>
        <v>46282</v>
      </c>
      <c r="G29" s="20" t="n">
        <f aca="false">$B$2+($E29-1)*7+6</f>
        <v>46288</v>
      </c>
      <c r="H29" s="21" t="str">
        <f aca="false">IF(AND(H$5&gt;=$D29,H$5&lt;=$E29),$C29,"")</f>
        <v/>
      </c>
      <c r="I29" s="21" t="str">
        <f aca="false">IF(AND(I$5&gt;=$D29,I$5&lt;=$E29),$C29,"")</f>
        <v/>
      </c>
      <c r="J29" s="21" t="str">
        <f aca="false">IF(AND(J$5&gt;=$D29,J$5&lt;=$E29),$C29,"")</f>
        <v/>
      </c>
      <c r="K29" s="21" t="str">
        <f aca="false">IF(AND(K$5&gt;=$D29,K$5&lt;=$E29),$C29,"")</f>
        <v/>
      </c>
      <c r="L29" s="21" t="str">
        <f aca="false">IF(AND(L$5&gt;=$D29,L$5&lt;=$E29),$C29,"")</f>
        <v/>
      </c>
      <c r="M29" s="21" t="str">
        <f aca="false">IF(AND(M$5&gt;=$D29,M$5&lt;=$E29),$C29,"")</f>
        <v/>
      </c>
      <c r="N29" s="21" t="str">
        <f aca="false">IF(AND(N$5&gt;=$D29,N$5&lt;=$E29),$C29,"")</f>
        <v/>
      </c>
      <c r="O29" s="21" t="str">
        <f aca="false">IF(AND(O$5&gt;=$D29,O$5&lt;=$E29),$C29,"")</f>
        <v/>
      </c>
      <c r="P29" s="21" t="str">
        <f aca="false">IF(AND(P$5&gt;=$D29,P$5&lt;=$E29),$C29,"")</f>
        <v/>
      </c>
      <c r="Q29" s="21" t="str">
        <f aca="false">IF(AND(Q$5&gt;=$D29,Q$5&lt;=$E29),$C29,"")</f>
        <v/>
      </c>
      <c r="R29" s="21" t="str">
        <f aca="false">IF(AND(R$5&gt;=$D29,R$5&lt;=$E29),$C29,"")</f>
        <v>A+B</v>
      </c>
      <c r="S29" s="21" t="str">
        <f aca="false">IF(AND(S$5&gt;=$D29,S$5&lt;=$E29),$C29,"")</f>
        <v/>
      </c>
      <c r="T29" s="21" t="str">
        <f aca="false">IF(AND(T$5&gt;=$D29,T$5&lt;=$E29),$C29,"")</f>
        <v/>
      </c>
      <c r="U29" s="21" t="str">
        <f aca="false">IF(AND(U$5&gt;=$D29,U$5&lt;=$E29),$C29,"")</f>
        <v/>
      </c>
    </row>
    <row r="30" customFormat="false" ht="27.75" hidden="false" customHeight="true" outlineLevel="0" collapsed="false">
      <c r="A30" s="16" t="s">
        <v>44</v>
      </c>
      <c r="B30" s="17" t="s">
        <v>45</v>
      </c>
      <c r="C30" s="18" t="s">
        <v>4</v>
      </c>
      <c r="D30" s="19" t="n">
        <v>12</v>
      </c>
      <c r="E30" s="19" t="n">
        <v>12</v>
      </c>
      <c r="F30" s="20" t="n">
        <f aca="false">$B$2+($D30-1)*7</f>
        <v>46289</v>
      </c>
      <c r="G30" s="20" t="n">
        <f aca="false">$B$2+($E30-1)*7+6</f>
        <v>46295</v>
      </c>
      <c r="H30" s="21" t="str">
        <f aca="false">IF(AND(H$5&gt;=$D30,H$5&lt;=$E30),$C30,"")</f>
        <v/>
      </c>
      <c r="I30" s="21" t="str">
        <f aca="false">IF(AND(I$5&gt;=$D30,I$5&lt;=$E30),$C30,"")</f>
        <v/>
      </c>
      <c r="J30" s="21" t="str">
        <f aca="false">IF(AND(J$5&gt;=$D30,J$5&lt;=$E30),$C30,"")</f>
        <v/>
      </c>
      <c r="K30" s="21" t="str">
        <f aca="false">IF(AND(K$5&gt;=$D30,K$5&lt;=$E30),$C30,"")</f>
        <v/>
      </c>
      <c r="L30" s="21" t="str">
        <f aca="false">IF(AND(L$5&gt;=$D30,L$5&lt;=$E30),$C30,"")</f>
        <v/>
      </c>
      <c r="M30" s="21" t="str">
        <f aca="false">IF(AND(M$5&gt;=$D30,M$5&lt;=$E30),$C30,"")</f>
        <v/>
      </c>
      <c r="N30" s="21" t="str">
        <f aca="false">IF(AND(N$5&gt;=$D30,N$5&lt;=$E30),$C30,"")</f>
        <v/>
      </c>
      <c r="O30" s="21" t="str">
        <f aca="false">IF(AND(O$5&gt;=$D30,O$5&lt;=$E30),$C30,"")</f>
        <v/>
      </c>
      <c r="P30" s="21" t="str">
        <f aca="false">IF(AND(P$5&gt;=$D30,P$5&lt;=$E30),$C30,"")</f>
        <v/>
      </c>
      <c r="Q30" s="21" t="str">
        <f aca="false">IF(AND(Q$5&gt;=$D30,Q$5&lt;=$E30),$C30,"")</f>
        <v/>
      </c>
      <c r="R30" s="21" t="str">
        <f aca="false">IF(AND(R$5&gt;=$D30,R$5&lt;=$E30),$C30,"")</f>
        <v/>
      </c>
      <c r="S30" s="21" t="str">
        <f aca="false">IF(AND(S$5&gt;=$D30,S$5&lt;=$E30),$C30,"")</f>
        <v>A</v>
      </c>
      <c r="T30" s="21" t="str">
        <f aca="false">IF(AND(T$5&gt;=$D30,T$5&lt;=$E30),$C30,"")</f>
        <v/>
      </c>
      <c r="U30" s="21" t="str">
        <f aca="false">IF(AND(U$5&gt;=$D30,U$5&lt;=$E30),$C30,"")</f>
        <v/>
      </c>
    </row>
    <row r="31" customFormat="false" ht="27.75" hidden="false" customHeight="true" outlineLevel="0" collapsed="false">
      <c r="A31" s="22"/>
      <c r="B31" s="17" t="s">
        <v>46</v>
      </c>
      <c r="C31" s="18" t="s">
        <v>4</v>
      </c>
      <c r="D31" s="19" t="n">
        <v>14</v>
      </c>
      <c r="E31" s="19" t="n">
        <v>14</v>
      </c>
      <c r="F31" s="20" t="n">
        <f aca="false">$B$2+($D31-1)*7</f>
        <v>46303</v>
      </c>
      <c r="G31" s="20" t="n">
        <f aca="false">$B$2+($E31-1)*7+6</f>
        <v>46309</v>
      </c>
      <c r="H31" s="21" t="str">
        <f aca="false">IF(AND(H$5&gt;=$D31,H$5&lt;=$E31),$C31,"")</f>
        <v/>
      </c>
      <c r="I31" s="21" t="str">
        <f aca="false">IF(AND(I$5&gt;=$D31,I$5&lt;=$E31),$C31,"")</f>
        <v/>
      </c>
      <c r="J31" s="21" t="str">
        <f aca="false">IF(AND(J$5&gt;=$D31,J$5&lt;=$E31),$C31,"")</f>
        <v/>
      </c>
      <c r="K31" s="21" t="str">
        <f aca="false">IF(AND(K$5&gt;=$D31,K$5&lt;=$E31),$C31,"")</f>
        <v/>
      </c>
      <c r="L31" s="21" t="str">
        <f aca="false">IF(AND(L$5&gt;=$D31,L$5&lt;=$E31),$C31,"")</f>
        <v/>
      </c>
      <c r="M31" s="21" t="str">
        <f aca="false">IF(AND(M$5&gt;=$D31,M$5&lt;=$E31),$C31,"")</f>
        <v/>
      </c>
      <c r="N31" s="21" t="str">
        <f aca="false">IF(AND(N$5&gt;=$D31,N$5&lt;=$E31),$C31,"")</f>
        <v/>
      </c>
      <c r="O31" s="21" t="str">
        <f aca="false">IF(AND(O$5&gt;=$D31,O$5&lt;=$E31),$C31,"")</f>
        <v/>
      </c>
      <c r="P31" s="21" t="str">
        <f aca="false">IF(AND(P$5&gt;=$D31,P$5&lt;=$E31),$C31,"")</f>
        <v/>
      </c>
      <c r="Q31" s="21" t="str">
        <f aca="false">IF(AND(Q$5&gt;=$D31,Q$5&lt;=$E31),$C31,"")</f>
        <v/>
      </c>
      <c r="R31" s="21" t="str">
        <f aca="false">IF(AND(R$5&gt;=$D31,R$5&lt;=$E31),$C31,"")</f>
        <v/>
      </c>
      <c r="S31" s="21" t="str">
        <f aca="false">IF(AND(S$5&gt;=$D31,S$5&lt;=$E31),$C31,"")</f>
        <v/>
      </c>
      <c r="T31" s="21" t="str">
        <f aca="false">IF(AND(T$5&gt;=$D31,T$5&lt;=$E31),$C31,"")</f>
        <v/>
      </c>
      <c r="U31" s="21" t="str">
        <f aca="false">IF(AND(U$5&gt;=$D31,U$5&lt;=$E31),$C31,"")</f>
        <v>A</v>
      </c>
    </row>
    <row r="32" customFormat="false" ht="27.75" hidden="false" customHeight="true" outlineLevel="0" collapsed="false">
      <c r="A32" s="22"/>
      <c r="B32" s="17" t="s">
        <v>47</v>
      </c>
      <c r="C32" s="23" t="s">
        <v>6</v>
      </c>
      <c r="D32" s="19" t="n">
        <v>12</v>
      </c>
      <c r="E32" s="19" t="n">
        <v>12</v>
      </c>
      <c r="F32" s="20" t="n">
        <f aca="false">$B$2+($D32-1)*7</f>
        <v>46289</v>
      </c>
      <c r="G32" s="20" t="n">
        <f aca="false">$B$2+($E32-1)*7+6</f>
        <v>46295</v>
      </c>
      <c r="H32" s="21" t="str">
        <f aca="false">IF(AND(H$5&gt;=$D32,H$5&lt;=$E32),$C32,"")</f>
        <v/>
      </c>
      <c r="I32" s="21" t="str">
        <f aca="false">IF(AND(I$5&gt;=$D32,I$5&lt;=$E32),$C32,"")</f>
        <v/>
      </c>
      <c r="J32" s="21" t="str">
        <f aca="false">IF(AND(J$5&gt;=$D32,J$5&lt;=$E32),$C32,"")</f>
        <v/>
      </c>
      <c r="K32" s="21" t="str">
        <f aca="false">IF(AND(K$5&gt;=$D32,K$5&lt;=$E32),$C32,"")</f>
        <v/>
      </c>
      <c r="L32" s="21" t="str">
        <f aca="false">IF(AND(L$5&gt;=$D32,L$5&lt;=$E32),$C32,"")</f>
        <v/>
      </c>
      <c r="M32" s="21" t="str">
        <f aca="false">IF(AND(M$5&gt;=$D32,M$5&lt;=$E32),$C32,"")</f>
        <v/>
      </c>
      <c r="N32" s="21" t="str">
        <f aca="false">IF(AND(N$5&gt;=$D32,N$5&lt;=$E32),$C32,"")</f>
        <v/>
      </c>
      <c r="O32" s="21" t="str">
        <f aca="false">IF(AND(O$5&gt;=$D32,O$5&lt;=$E32),$C32,"")</f>
        <v/>
      </c>
      <c r="P32" s="21" t="str">
        <f aca="false">IF(AND(P$5&gt;=$D32,P$5&lt;=$E32),$C32,"")</f>
        <v/>
      </c>
      <c r="Q32" s="21" t="str">
        <f aca="false">IF(AND(Q$5&gt;=$D32,Q$5&lt;=$E32),$C32,"")</f>
        <v/>
      </c>
      <c r="R32" s="21" t="str">
        <f aca="false">IF(AND(R$5&gt;=$D32,R$5&lt;=$E32),$C32,"")</f>
        <v/>
      </c>
      <c r="S32" s="21" t="str">
        <f aca="false">IF(AND(S$5&gt;=$D32,S$5&lt;=$E32),$C32,"")</f>
        <v>B</v>
      </c>
      <c r="T32" s="21" t="str">
        <f aca="false">IF(AND(T$5&gt;=$D32,T$5&lt;=$E32),$C32,"")</f>
        <v/>
      </c>
      <c r="U32" s="21" t="str">
        <f aca="false">IF(AND(U$5&gt;=$D32,U$5&lt;=$E32),$C32,"")</f>
        <v/>
      </c>
    </row>
    <row r="33" customFormat="false" ht="27.75" hidden="false" customHeight="true" outlineLevel="0" collapsed="false">
      <c r="A33" s="22"/>
      <c r="B33" s="17" t="s">
        <v>48</v>
      </c>
      <c r="C33" s="24" t="s">
        <v>8</v>
      </c>
      <c r="D33" s="19" t="n">
        <v>13</v>
      </c>
      <c r="E33" s="19" t="n">
        <v>13</v>
      </c>
      <c r="F33" s="20" t="n">
        <f aca="false">$B$2+($D33-1)*7</f>
        <v>46296</v>
      </c>
      <c r="G33" s="20" t="n">
        <f aca="false">$B$2+($E33-1)*7+6</f>
        <v>46302</v>
      </c>
      <c r="H33" s="21" t="str">
        <f aca="false">IF(AND(H$5&gt;=$D33,H$5&lt;=$E33),$C33,"")</f>
        <v/>
      </c>
      <c r="I33" s="21" t="str">
        <f aca="false">IF(AND(I$5&gt;=$D33,I$5&lt;=$E33),$C33,"")</f>
        <v/>
      </c>
      <c r="J33" s="21" t="str">
        <f aca="false">IF(AND(J$5&gt;=$D33,J$5&lt;=$E33),$C33,"")</f>
        <v/>
      </c>
      <c r="K33" s="21" t="str">
        <f aca="false">IF(AND(K$5&gt;=$D33,K$5&lt;=$E33),$C33,"")</f>
        <v/>
      </c>
      <c r="L33" s="21" t="str">
        <f aca="false">IF(AND(L$5&gt;=$D33,L$5&lt;=$E33),$C33,"")</f>
        <v/>
      </c>
      <c r="M33" s="21" t="str">
        <f aca="false">IF(AND(M$5&gt;=$D33,M$5&lt;=$E33),$C33,"")</f>
        <v/>
      </c>
      <c r="N33" s="21" t="str">
        <f aca="false">IF(AND(N$5&gt;=$D33,N$5&lt;=$E33),$C33,"")</f>
        <v/>
      </c>
      <c r="O33" s="21" t="str">
        <f aca="false">IF(AND(O$5&gt;=$D33,O$5&lt;=$E33),$C33,"")</f>
        <v/>
      </c>
      <c r="P33" s="21" t="str">
        <f aca="false">IF(AND(P$5&gt;=$D33,P$5&lt;=$E33),$C33,"")</f>
        <v/>
      </c>
      <c r="Q33" s="21" t="str">
        <f aca="false">IF(AND(Q$5&gt;=$D33,Q$5&lt;=$E33),$C33,"")</f>
        <v/>
      </c>
      <c r="R33" s="21" t="str">
        <f aca="false">IF(AND(R$5&gt;=$D33,R$5&lt;=$E33),$C33,"")</f>
        <v/>
      </c>
      <c r="S33" s="21" t="str">
        <f aca="false">IF(AND(S$5&gt;=$D33,S$5&lt;=$E33),$C33,"")</f>
        <v/>
      </c>
      <c r="T33" s="21" t="str">
        <f aca="false">IF(AND(T$5&gt;=$D33,T$5&lt;=$E33),$C33,"")</f>
        <v>A+B</v>
      </c>
      <c r="U33" s="21" t="str">
        <f aca="false">IF(AND(U$5&gt;=$D33,U$5&lt;=$E33),$C33,"")</f>
        <v/>
      </c>
    </row>
    <row r="34" customFormat="false" ht="27.75" hidden="false" customHeight="true" outlineLevel="0" collapsed="false">
      <c r="A34" s="22"/>
      <c r="B34" s="17" t="s">
        <v>49</v>
      </c>
      <c r="C34" s="23" t="s">
        <v>6</v>
      </c>
      <c r="D34" s="19" t="n">
        <v>14</v>
      </c>
      <c r="E34" s="19" t="n">
        <v>14</v>
      </c>
      <c r="F34" s="20" t="n">
        <f aca="false">$B$2+($D34-1)*7</f>
        <v>46303</v>
      </c>
      <c r="G34" s="20" t="n">
        <f aca="false">$B$2+($E34-1)*7+6</f>
        <v>46309</v>
      </c>
      <c r="H34" s="21" t="str">
        <f aca="false">IF(AND(H$5&gt;=$D34,H$5&lt;=$E34),$C34,"")</f>
        <v/>
      </c>
      <c r="I34" s="21" t="str">
        <f aca="false">IF(AND(I$5&gt;=$D34,I$5&lt;=$E34),$C34,"")</f>
        <v/>
      </c>
      <c r="J34" s="21" t="str">
        <f aca="false">IF(AND(J$5&gt;=$D34,J$5&lt;=$E34),$C34,"")</f>
        <v/>
      </c>
      <c r="K34" s="21" t="str">
        <f aca="false">IF(AND(K$5&gt;=$D34,K$5&lt;=$E34),$C34,"")</f>
        <v/>
      </c>
      <c r="L34" s="21" t="str">
        <f aca="false">IF(AND(L$5&gt;=$D34,L$5&lt;=$E34),$C34,"")</f>
        <v/>
      </c>
      <c r="M34" s="21" t="str">
        <f aca="false">IF(AND(M$5&gt;=$D34,M$5&lt;=$E34),$C34,"")</f>
        <v/>
      </c>
      <c r="N34" s="21" t="str">
        <f aca="false">IF(AND(N$5&gt;=$D34,N$5&lt;=$E34),$C34,"")</f>
        <v/>
      </c>
      <c r="O34" s="21" t="str">
        <f aca="false">IF(AND(O$5&gt;=$D34,O$5&lt;=$E34),$C34,"")</f>
        <v/>
      </c>
      <c r="P34" s="21" t="str">
        <f aca="false">IF(AND(P$5&gt;=$D34,P$5&lt;=$E34),$C34,"")</f>
        <v/>
      </c>
      <c r="Q34" s="21" t="str">
        <f aca="false">IF(AND(Q$5&gt;=$D34,Q$5&lt;=$E34),$C34,"")</f>
        <v/>
      </c>
      <c r="R34" s="21" t="str">
        <f aca="false">IF(AND(R$5&gt;=$D34,R$5&lt;=$E34),$C34,"")</f>
        <v/>
      </c>
      <c r="S34" s="21" t="str">
        <f aca="false">IF(AND(S$5&gt;=$D34,S$5&lt;=$E34),$C34,"")</f>
        <v/>
      </c>
      <c r="T34" s="21" t="str">
        <f aca="false">IF(AND(T$5&gt;=$D34,T$5&lt;=$E34),$C34,"")</f>
        <v/>
      </c>
      <c r="U34" s="21" t="str">
        <f aca="false">IF(AND(U$5&gt;=$D34,U$5&lt;=$E34),$C34,"")</f>
        <v>B</v>
      </c>
    </row>
  </sheetData>
  <mergeCells count="4">
    <mergeCell ref="A1:U1"/>
    <mergeCell ref="C2:U2"/>
    <mergeCell ref="F3:I3"/>
    <mergeCell ref="K3:N3"/>
  </mergeCells>
  <conditionalFormatting sqref="H8:U34">
    <cfRule type="expression" priority="2" aboveAverage="0" equalAverage="0" bottom="0" percent="0" rank="0" text="" dxfId="0">
      <formula>H8="A+B"</formula>
    </cfRule>
    <cfRule type="expression" priority="3" aboveAverage="0" equalAverage="0" bottom="0" percent="0" rank="0" text="" dxfId="1">
      <formula>H8="A"</formula>
    </cfRule>
    <cfRule type="expression" priority="4" aboveAverage="0" equalAverage="0" bottom="0" percent="0" rank="0" text="" dxfId="2">
      <formula>H8="B"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2026-07-09T03:53:33Z</dcterms:created>
  <dc:creator>openpyxl</dc:creator>
  <dc:description/>
  <dc:language>en-US</dc:language>
  <cp:lastModifiedBy/>
  <dcterms:modified xsi:type="dcterms:W3CDTF">2026-07-09T03:53:33Z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